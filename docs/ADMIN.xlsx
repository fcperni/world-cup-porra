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PC-PORTATIL-SISTMS-1\Desktop\"/>
    </mc:Choice>
  </mc:AlternateContent>
  <xr:revisionPtr revIDLastSave="0" documentId="13_ncr:1_{EF0F31C9-6270-4C2A-AD23-89E55950909B}"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2"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Q244" i="46" s="1"/>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Q26" i="46" s="1"/>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Q60" i="46" s="1"/>
  <c r="O60" i="46"/>
  <c r="P59" i="46"/>
  <c r="O59" i="46"/>
  <c r="Q59" i="46" s="1"/>
  <c r="P58" i="46"/>
  <c r="O58" i="46"/>
  <c r="P57" i="46"/>
  <c r="O57" i="46"/>
  <c r="P56" i="46"/>
  <c r="Q56" i="46" s="1"/>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D38" i="36"/>
  <c r="W158" i="3" s="1"/>
  <c r="D468" i="36"/>
  <c r="K248" i="46" s="1"/>
  <c r="D184" i="36"/>
  <c r="K114" i="46" s="1"/>
  <c r="D181" i="36"/>
  <c r="K111" i="46" s="1"/>
  <c r="D138" i="36"/>
  <c r="D197" i="36"/>
  <c r="K127" i="46" s="1"/>
  <c r="D464" i="36"/>
  <c r="N4" i="47" s="1"/>
  <c r="D72" i="36"/>
  <c r="D73" i="36"/>
  <c r="D74" i="36"/>
  <c r="AY3" i="3" s="1"/>
  <c r="D148" i="36"/>
  <c r="K246" i="46" s="1"/>
  <c r="D136" i="36"/>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D310" i="36"/>
  <c r="C14" i="46" s="1"/>
  <c r="D318" i="36"/>
  <c r="C22" i="46" s="1"/>
  <c r="D326" i="36"/>
  <c r="C30" i="46" s="1"/>
  <c r="D334" i="36"/>
  <c r="C38" i="46" s="1"/>
  <c r="D271" i="36"/>
  <c r="D140" i="36"/>
  <c r="D150" i="36"/>
  <c r="K80" i="46" s="1"/>
  <c r="D475" i="36"/>
  <c r="F3" i="48" s="1"/>
  <c r="D474" i="36"/>
  <c r="G1" i="48"/>
  <c r="D39" i="36"/>
  <c r="W159" i="3" s="1"/>
  <c r="D145" i="36"/>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D194" i="36"/>
  <c r="D186" i="36"/>
  <c r="K116" i="46" s="1"/>
  <c r="D178" i="36"/>
  <c r="K108" i="46" s="1"/>
  <c r="D170" i="36"/>
  <c r="K100" i="46" s="1"/>
  <c r="D162" i="36"/>
  <c r="K92" i="46" s="1"/>
  <c r="D154" i="36"/>
  <c r="K84" i="46" s="1"/>
  <c r="D456" i="36"/>
  <c r="F4" i="47" s="1"/>
  <c r="D34" i="36"/>
  <c r="W152" i="3" s="1"/>
  <c r="D466" i="36"/>
  <c r="P4" i="47" s="1"/>
  <c r="D462" i="36"/>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K79" i="46"/>
  <c r="D93" i="36"/>
  <c r="L13" i="34" s="1"/>
  <c r="D104" i="36"/>
  <c r="L32" i="34" s="1"/>
  <c r="D96" i="36"/>
  <c r="L18" i="34" s="1"/>
  <c r="D89" i="36"/>
  <c r="L9" i="34" s="1"/>
  <c r="D95" i="36"/>
  <c r="L15" i="34" s="1"/>
  <c r="D94" i="36"/>
  <c r="L14" i="34" s="1"/>
  <c r="K112" i="46"/>
  <c r="D112" i="36"/>
  <c r="D110" i="36"/>
  <c r="L45" i="34" s="1"/>
  <c r="D86" i="36"/>
  <c r="L4" i="34" s="1"/>
  <c r="D101" i="36"/>
  <c r="L27" i="34" s="1"/>
  <c r="D100" i="36"/>
  <c r="L25" i="34" s="1"/>
  <c r="D103" i="36"/>
  <c r="D99" i="36"/>
  <c r="L23" i="34" s="1"/>
  <c r="D102" i="36"/>
  <c r="D98" i="36"/>
  <c r="L21" i="34" s="1"/>
  <c r="D92" i="36"/>
  <c r="L12" i="34" s="1"/>
  <c r="D97" i="36"/>
  <c r="L20" i="34" s="1"/>
  <c r="D91" i="36"/>
  <c r="L11" i="34" s="1"/>
  <c r="D88" i="36"/>
  <c r="D90" i="36"/>
  <c r="D87" i="36"/>
  <c r="L5" i="34" s="1"/>
  <c r="K199" i="46"/>
  <c r="B1" i="47"/>
  <c r="D509" i="36"/>
  <c r="D445" i="36"/>
  <c r="D446" i="36"/>
  <c r="K87" i="46"/>
  <c r="D444" i="36"/>
  <c r="D302" i="36"/>
  <c r="K12" i="30" s="1"/>
  <c r="M66" i="46"/>
  <c r="E222" i="46"/>
  <c r="E207" i="46"/>
  <c r="M207" i="46"/>
  <c r="K94" i="46"/>
  <c r="H1" i="50"/>
  <c r="K181" i="46"/>
  <c r="K235" i="46"/>
  <c r="D366" i="36"/>
  <c r="D443" i="36"/>
  <c r="D43" i="36"/>
  <c r="AA156" i="3" s="1"/>
  <c r="K249" i="46"/>
  <c r="C62" i="46" s="1"/>
  <c r="C39" i="46"/>
  <c r="AZ5" i="3"/>
  <c r="M37" i="46"/>
  <c r="E179" i="46"/>
  <c r="E247" i="46"/>
  <c r="E206" i="46"/>
  <c r="K113" i="46"/>
  <c r="I4" i="47"/>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D442" i="36"/>
  <c r="D50" i="46" s="1"/>
  <c r="D373" i="36"/>
  <c r="D55" i="36"/>
  <c r="AM5" i="3" s="1"/>
  <c r="D61" i="36"/>
  <c r="AS5" i="3" s="1"/>
  <c r="D41" i="36"/>
  <c r="AA154" i="3" s="1"/>
  <c r="D371" i="36"/>
  <c r="D54" i="36"/>
  <c r="BD5" i="3" s="1"/>
  <c r="BD57" i="3" s="1"/>
  <c r="D62" i="36"/>
  <c r="AT5" i="3" s="1"/>
  <c r="D137" i="36"/>
  <c r="H152" i="46" s="1"/>
  <c r="D260" i="36"/>
  <c r="H172" i="46" s="1"/>
  <c r="D42" i="36"/>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Q4" i="47"/>
  <c r="S7" i="51"/>
  <c r="D505" i="36"/>
  <c r="D107" i="36"/>
  <c r="B3" i="30"/>
  <c r="AX18" i="45"/>
  <c r="S267" i="46"/>
  <c r="K128" i="46"/>
  <c r="K234" i="46"/>
  <c r="H228" i="46"/>
  <c r="H257" i="46"/>
  <c r="AZ37" i="3"/>
  <c r="AZ21" i="3"/>
  <c r="AZ13" i="3"/>
  <c r="AZ29" i="3"/>
  <c r="R7" i="51"/>
  <c r="AZ53" i="3"/>
  <c r="AZ77" i="3"/>
  <c r="AZ45" i="3"/>
  <c r="AZ69" i="3"/>
  <c r="AJ3" i="3"/>
  <c r="AJ60" i="3" s="1"/>
  <c r="AZ93" i="3"/>
  <c r="AZ85" i="3"/>
  <c r="H241" i="46"/>
  <c r="K224" i="46"/>
  <c r="L4" i="47"/>
  <c r="K139" i="46"/>
  <c r="K153" i="46"/>
  <c r="K136" i="46"/>
  <c r="K138" i="46"/>
  <c r="K132" i="46"/>
  <c r="K134" i="46"/>
  <c r="K144" i="46"/>
  <c r="K142" i="46"/>
  <c r="K152" i="46"/>
  <c r="K154" i="46"/>
  <c r="K148" i="46"/>
  <c r="K150" i="46"/>
  <c r="K160" i="46"/>
  <c r="K158" i="46"/>
  <c r="K137" i="46"/>
  <c r="H202" i="46"/>
  <c r="H212" i="46"/>
  <c r="H204" i="46"/>
  <c r="H205" i="46"/>
  <c r="H215" i="46"/>
  <c r="H207" i="46"/>
  <c r="Q22" i="6"/>
  <c r="H210" i="46"/>
  <c r="H211" i="46"/>
  <c r="H229" i="46"/>
  <c r="H220" i="46"/>
  <c r="H227" i="46"/>
  <c r="H222" i="46"/>
  <c r="D21" i="36"/>
  <c r="AF3" i="3" s="1"/>
  <c r="AF51" i="3" s="1"/>
  <c r="D507" i="36"/>
  <c r="H221" i="46"/>
  <c r="D20" i="36"/>
  <c r="AD3" i="3" s="1"/>
  <c r="D506" i="36"/>
  <c r="L6" i="34"/>
  <c r="C7" i="46"/>
  <c r="H233" i="46"/>
  <c r="H236" i="46"/>
  <c r="H237" i="46"/>
  <c r="C61" i="46"/>
  <c r="AA155" i="3"/>
  <c r="M254" i="46" s="1"/>
  <c r="T254" i="46" s="1"/>
  <c r="AH155" i="3"/>
  <c r="AM53" i="3"/>
  <c r="AM21" i="3"/>
  <c r="Q23" i="6"/>
  <c r="K5" i="46"/>
  <c r="C56" i="46" s="1"/>
  <c r="AA160" i="3"/>
  <c r="M258" i="46" s="1"/>
  <c r="AL5" i="3"/>
  <c r="AY5" i="3" s="1"/>
  <c r="AR61" i="3"/>
  <c r="H232" i="46"/>
  <c r="AA158" i="3"/>
  <c r="M256" i="46" s="1"/>
  <c r="AH158" i="3"/>
  <c r="H216" i="46"/>
  <c r="AH154" i="3"/>
  <c r="AN45" i="3"/>
  <c r="AJ52" i="3"/>
  <c r="AJ36" i="3"/>
  <c r="AJ84" i="3"/>
  <c r="M84" i="34"/>
  <c r="AC3" i="3"/>
  <c r="AC130" i="3" s="1"/>
  <c r="AH159" i="3" l="1"/>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CD244" i="46"/>
  <c r="CG244" i="46"/>
  <c r="CJ244" i="46"/>
  <c r="CM244" i="46"/>
  <c r="CA244" i="46"/>
  <c r="BX244" i="46"/>
  <c r="BX6" i="46"/>
  <c r="CA6" i="46"/>
  <c r="CD6" i="46"/>
  <c r="CG6" i="46"/>
  <c r="CJ6" i="46"/>
  <c r="CM6"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CA232" i="46"/>
  <c r="CJ232" i="46"/>
  <c r="CM232" i="46"/>
  <c r="BX232" i="46"/>
  <c r="CD232" i="46"/>
  <c r="CG232" i="46"/>
  <c r="BX30" i="46"/>
  <c r="CA30" i="46"/>
  <c r="CD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BX54" i="46"/>
  <c r="CA54" i="46"/>
  <c r="CD54" i="46"/>
  <c r="CG54" i="46"/>
  <c r="CJ54" i="46"/>
  <c r="CM54" i="46"/>
  <c r="D367" i="36"/>
  <c r="AF91" i="3"/>
  <c r="AF67" i="3"/>
  <c r="AL85" i="3"/>
  <c r="AY85" i="3" s="1"/>
  <c r="AJ28" i="3"/>
  <c r="H244" i="46"/>
  <c r="H201" i="46"/>
  <c r="H214" i="46"/>
  <c r="H155" i="46"/>
  <c r="H140" i="46"/>
  <c r="H138" i="46"/>
  <c r="AL253" i="46"/>
  <c r="Z253" i="46"/>
  <c r="BA253" i="46"/>
  <c r="AR253" i="46"/>
  <c r="BJ253" i="46"/>
  <c r="BX253" i="46"/>
  <c r="BY253" i="46" s="1"/>
  <c r="AC253" i="46"/>
  <c r="AU253" i="46"/>
  <c r="CM253" i="46"/>
  <c r="CN253" i="46" s="1"/>
  <c r="BM253" i="46"/>
  <c r="CA253" i="46"/>
  <c r="CB253" i="46" s="1"/>
  <c r="AF253" i="46"/>
  <c r="AX253" i="46"/>
  <c r="BP253" i="46"/>
  <c r="CD253" i="46"/>
  <c r="CE253" i="46" s="1"/>
  <c r="AI253" i="46"/>
  <c r="BS253" i="46"/>
  <c r="BD253" i="46"/>
  <c r="CG253" i="46"/>
  <c r="CH253" i="46" s="1"/>
  <c r="W253" i="46"/>
  <c r="CJ253" i="46"/>
  <c r="CK253" i="46" s="1"/>
  <c r="AO253" i="46"/>
  <c r="BG253" i="46"/>
  <c r="BV253" i="46"/>
  <c r="K193" i="46"/>
  <c r="K183" i="46"/>
  <c r="CJ220" i="46"/>
  <c r="CM220" i="46"/>
  <c r="BX220" i="46"/>
  <c r="CA220" i="46"/>
  <c r="CD220" i="46"/>
  <c r="CG220" i="46"/>
  <c r="H213" i="46"/>
  <c r="H156" i="46"/>
  <c r="H134" i="46"/>
  <c r="H253" i="46"/>
  <c r="H254" i="46"/>
  <c r="H141" i="46"/>
  <c r="H133" i="46"/>
  <c r="CG200" i="46"/>
  <c r="CJ200" i="46"/>
  <c r="BX200" i="46"/>
  <c r="CA200" i="46"/>
  <c r="CD200" i="46"/>
  <c r="CM200"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CE53" i="46"/>
  <c r="AI56" i="46"/>
  <c r="BG56" i="46"/>
  <c r="CE56" i="46"/>
  <c r="AO58" i="46"/>
  <c r="BM58" i="46"/>
  <c r="CK58" i="46"/>
  <c r="AX36" i="46"/>
  <c r="Z37" i="46"/>
  <c r="BG45" i="46"/>
  <c r="Z47" i="46"/>
  <c r="CB47" i="46"/>
  <c r="AI49" i="46"/>
  <c r="AU52" i="46"/>
  <c r="BS52" i="46"/>
  <c r="BJ53"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K214" i="46"/>
  <c r="K210" i="46"/>
  <c r="K216" i="46"/>
  <c r="DT75" i="3"/>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DT100" i="3" s="1"/>
  <c r="AF146" i="3"/>
  <c r="AF11" i="3"/>
  <c r="AF119" i="3"/>
  <c r="DT119" i="3" s="1"/>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AX53" i="46" l="1"/>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BX164" i="46"/>
  <c r="CA164" i="46"/>
  <c r="CD164" i="46"/>
  <c r="CJ164" i="46"/>
  <c r="CM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AB37" i="3" s="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N9" i="45" s="1"/>
  <c r="BG5" i="45"/>
  <c r="BN5" i="45" s="1"/>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BN22" i="45" s="1"/>
  <c r="T44" i="32"/>
  <c r="DT38" i="3"/>
  <c r="BG39" i="45"/>
  <c r="BN39" i="45" s="1"/>
  <c r="T13" i="32"/>
  <c r="K35" i="46"/>
  <c r="X21" i="32"/>
  <c r="BG45" i="45"/>
  <c r="BN45" i="45" s="1"/>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BN44" i="45" s="1"/>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BN32" i="45" s="1"/>
  <c r="X20" i="32"/>
  <c r="S24" i="32"/>
  <c r="L36" i="51"/>
  <c r="R20" i="32"/>
  <c r="X31" i="32"/>
  <c r="T20" i="32"/>
  <c r="S31" i="32"/>
  <c r="BG21" i="45"/>
  <c r="BN21" i="45" s="1"/>
  <c r="AE40" i="3" a="1"/>
  <c r="AE40" i="3" s="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F10" i="48" a="1"/>
  <c r="F10" i="48" s="1"/>
  <c r="E11" i="48"/>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U3" i="32" l="1"/>
  <c r="W32" i="32"/>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AK99" i="3"/>
  <c r="X121" i="3"/>
  <c r="X133" i="3"/>
  <c r="Y133"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F18" i="48" a="1"/>
  <c r="F18" i="48" s="1"/>
  <c r="E19" i="48"/>
  <c r="BX39" i="3" l="1"/>
  <c r="BX45" i="3"/>
  <c r="BX23"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H54" i="3"/>
  <c r="I40" i="3"/>
  <c r="CB23" i="3" s="1"/>
  <c r="I71" i="3"/>
  <c r="I76" i="3"/>
  <c r="CB42" i="3" s="1"/>
  <c r="H96" i="3"/>
  <c r="CA50" i="3" s="1"/>
  <c r="I68" i="3"/>
  <c r="H80" i="3"/>
  <c r="H5" i="3"/>
  <c r="I49" i="3"/>
  <c r="H85" i="3"/>
  <c r="CB49" i="3" s="1"/>
  <c r="I70" i="3"/>
  <c r="I8" i="3"/>
  <c r="CB9" i="3" s="1"/>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53" i="3"/>
  <c r="CA43" i="3"/>
  <c r="CB53" i="3"/>
  <c r="CA47" i="3"/>
  <c r="CA18" i="3"/>
  <c r="CB46" i="3"/>
  <c r="CB47" i="3"/>
  <c r="CB20" i="3"/>
  <c r="CB18" i="3"/>
  <c r="CA45" i="3"/>
  <c r="CB45" i="3"/>
  <c r="CB27" i="3"/>
  <c r="CB36" i="3"/>
  <c r="CA36" i="3"/>
  <c r="CA27" i="3"/>
  <c r="E23" i="48"/>
  <c r="F22" i="48" a="1"/>
  <c r="F22" i="48" s="1"/>
  <c r="CB44" i="3" l="1"/>
  <c r="CA31" i="3"/>
  <c r="CC31" i="3" s="1"/>
  <c r="CA42" i="3"/>
  <c r="CC42" i="3" s="1"/>
  <c r="CA44"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9" i="3" s="1"/>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44" i="3" l="1"/>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CF42" i="3" s="1"/>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CF25" i="3" s="1"/>
  <c r="L70" i="3"/>
  <c r="CF38" i="3" s="1"/>
  <c r="K68" i="3"/>
  <c r="K56" i="3"/>
  <c r="L20" i="3"/>
  <c r="L32" i="3"/>
  <c r="L22" i="3"/>
  <c r="CF17" i="3" s="1"/>
  <c r="K8" i="3"/>
  <c r="K28" i="3"/>
  <c r="CF19" i="3" s="1"/>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E9" i="51"/>
  <c r="CF22" i="3"/>
  <c r="CF8" i="3"/>
  <c r="CF26" i="3"/>
  <c r="B46" i="51"/>
  <c r="B47" i="51" s="1"/>
  <c r="E10" i="51"/>
  <c r="E28" i="48"/>
  <c r="F27" i="48" a="1"/>
  <c r="F27" i="48" s="1"/>
  <c r="E12" i="51"/>
  <c r="E11" i="51"/>
  <c r="CF6" i="3" l="1"/>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W22" i="45" s="1"/>
  <c r="AS70" i="3"/>
  <c r="AN70" i="3"/>
  <c r="AM70" i="3"/>
  <c r="U20" i="45" s="1"/>
  <c r="AQ70" i="3"/>
  <c r="T20" i="45"/>
  <c r="AK70" i="3" a="1"/>
  <c r="AK70" i="3" s="1"/>
  <c r="M105" i="3"/>
  <c r="AA106" i="3" s="1"/>
  <c r="AP70" i="3"/>
  <c r="AR70" i="3"/>
  <c r="W20" i="45" s="1"/>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CB234" i="46" l="1"/>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H20" i="48"/>
  <c r="H19" i="48"/>
  <c r="H14" i="48"/>
  <c r="H10" i="48"/>
  <c r="H16" i="48"/>
  <c r="H17" i="48"/>
  <c r="H26" i="48"/>
  <c r="H24" i="48"/>
  <c r="H6" i="48"/>
  <c r="H28" i="48"/>
  <c r="H21" i="48"/>
  <c r="H7" i="48"/>
  <c r="H13" i="48"/>
  <c r="H5" i="48"/>
  <c r="H25" i="48"/>
  <c r="H11" i="48"/>
  <c r="H18" i="48"/>
  <c r="H4" i="48"/>
  <c r="H27" i="48"/>
  <c r="H8" i="48"/>
  <c r="H23" i="48"/>
  <c r="H15" i="48"/>
  <c r="H12" i="48"/>
  <c r="H22"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M28" i="50" l="1"/>
  <c r="N28" i="50"/>
  <c r="O28" i="50"/>
  <c r="X28" i="50"/>
  <c r="J28" i="50"/>
  <c r="AI28" i="50"/>
  <c r="U28" i="50"/>
  <c r="V28" i="50"/>
  <c r="W28" i="50"/>
  <c r="AF28" i="50"/>
  <c r="K28" i="50"/>
  <c r="R28" i="50"/>
  <c r="AA28" i="50"/>
  <c r="AC28" i="50"/>
  <c r="AD28" i="50"/>
  <c r="AE28" i="50"/>
  <c r="I28" i="50"/>
  <c r="Z28" i="50"/>
  <c r="AK28" i="50"/>
  <c r="AL28" i="50"/>
  <c r="AM28" i="50"/>
  <c r="Q28" i="50"/>
  <c r="AH28" i="50"/>
  <c r="L28" i="50"/>
  <c r="Y28" i="50"/>
  <c r="AB28" i="50"/>
  <c r="T28" i="50"/>
  <c r="AG28" i="50"/>
  <c r="AJ28" i="50"/>
  <c r="P28" i="50"/>
  <c r="S28" i="50"/>
  <c r="H28" i="50"/>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AC28" i="48"/>
  <c r="AF20" i="48"/>
  <c r="K19" i="48"/>
  <c r="Q19" i="48"/>
  <c r="AK20" i="48"/>
  <c r="AL15" i="48"/>
  <c r="AA20" i="48"/>
  <c r="O28" i="48"/>
  <c r="AK26" i="48"/>
  <c r="AD21" i="48"/>
  <c r="AI9" i="48"/>
  <c r="AF11" i="48"/>
  <c r="AI19" i="48"/>
  <c r="K27" i="48"/>
  <c r="AC23" i="48"/>
  <c r="AB13" i="48"/>
  <c r="AK23" i="48"/>
  <c r="AI14" i="48"/>
  <c r="AA9" i="48"/>
  <c r="X16" i="48"/>
  <c r="AD24" i="48"/>
  <c r="P19" i="48"/>
  <c r="L25" i="48"/>
  <c r="Y12" i="48"/>
  <c r="AF25" i="48"/>
  <c r="W13" i="48"/>
  <c r="AL9" i="48"/>
  <c r="I25" i="48"/>
  <c r="AD13" i="48"/>
  <c r="I17" i="48"/>
  <c r="AH28" i="48"/>
  <c r="R23" i="48"/>
  <c r="V16" i="48"/>
  <c r="AI12" i="48"/>
  <c r="AH15" i="48"/>
  <c r="M23" i="48"/>
  <c r="AK17" i="48"/>
  <c r="AL22" i="48"/>
  <c r="W28" i="48"/>
  <c r="AH17" i="48"/>
  <c r="W18" i="48"/>
  <c r="S19" i="48"/>
  <c r="AL24" i="48"/>
  <c r="R13" i="48"/>
  <c r="AD28" i="48"/>
  <c r="Z21" i="48"/>
  <c r="J18" i="48"/>
  <c r="AH23" i="48"/>
  <c r="K9" i="48"/>
  <c r="X25" i="48"/>
  <c r="Q21" i="48"/>
  <c r="AG27" i="48"/>
  <c r="AL14" i="48"/>
  <c r="AD25" i="48"/>
  <c r="V24" i="48"/>
  <c r="O11" i="48"/>
  <c r="S12" i="48"/>
  <c r="S24" i="48"/>
  <c r="AC20" i="48"/>
  <c r="M26" i="48"/>
  <c r="O27" i="48"/>
  <c r="Y27" i="48"/>
  <c r="L28" i="48"/>
  <c r="K25" i="48"/>
  <c r="R26" i="48"/>
  <c r="X10" i="48"/>
  <c r="I27" i="48"/>
  <c r="T9" i="48"/>
  <c r="Z9" i="48"/>
  <c r="R21" i="48"/>
  <c r="M17" i="48"/>
  <c r="S23" i="48"/>
  <c r="AL21" i="48"/>
  <c r="AA11" i="48"/>
  <c r="Y14" i="48"/>
  <c r="R28" i="48"/>
  <c r="T17" i="48"/>
  <c r="AC19" i="48"/>
  <c r="T16" i="48"/>
  <c r="O12" i="48"/>
  <c r="AC22" i="48"/>
  <c r="AF10" i="48"/>
  <c r="AE21" i="48"/>
  <c r="AF24" i="48"/>
  <c r="AF28" i="48"/>
  <c r="P26" i="48"/>
  <c r="J12" i="48"/>
  <c r="Y24" i="48"/>
  <c r="O19" i="48"/>
  <c r="P27" i="48"/>
  <c r="AL27" i="48"/>
  <c r="P10" i="48"/>
  <c r="Y19" i="48"/>
  <c r="I10" i="48"/>
  <c r="AI13" i="48"/>
  <c r="J9" i="48"/>
  <c r="W20" i="48"/>
  <c r="S10" i="48"/>
  <c r="W21" i="48"/>
  <c r="N14" i="48"/>
  <c r="W24" i="48"/>
  <c r="U11" i="48"/>
  <c r="V22" i="48"/>
  <c r="M27" i="48"/>
  <c r="R20" i="48"/>
  <c r="AK22" i="48"/>
  <c r="AK15" i="48"/>
  <c r="J17" i="48"/>
  <c r="N24" i="48"/>
  <c r="AB11" i="48"/>
  <c r="AF26" i="48"/>
  <c r="AD10" i="48"/>
  <c r="U24" i="48"/>
  <c r="L27" i="48"/>
  <c r="I23" i="48"/>
  <c r="AF16" i="48"/>
  <c r="U19" i="48"/>
  <c r="AH27" i="48"/>
  <c r="N27" i="48"/>
  <c r="U22" i="48"/>
  <c r="AE28" i="48"/>
  <c r="R19" i="48"/>
  <c r="N13" i="48"/>
  <c r="S21" i="48"/>
  <c r="X15" i="48"/>
  <c r="Q18" i="48"/>
  <c r="AJ11" i="48"/>
  <c r="AH10" i="48"/>
  <c r="V10" i="48"/>
  <c r="AB19" i="48"/>
  <c r="AE22" i="48"/>
  <c r="AA21" i="48"/>
  <c r="O22" i="48"/>
  <c r="AF18" i="48"/>
  <c r="AD9" i="48"/>
  <c r="AJ19" i="48"/>
  <c r="AJ21" i="48"/>
  <c r="U26" i="48"/>
  <c r="N26" i="48"/>
  <c r="Y9" i="48"/>
  <c r="AJ16" i="48"/>
  <c r="AI11" i="48"/>
  <c r="AJ28" i="48"/>
  <c r="L16" i="48"/>
  <c r="AC10" i="48"/>
  <c r="AD19" i="48"/>
  <c r="W14" i="48"/>
  <c r="Z22" i="48"/>
  <c r="N20" i="48"/>
  <c r="T15" i="48"/>
  <c r="AK21" i="48"/>
  <c r="AI22" i="48"/>
  <c r="P17" i="48"/>
  <c r="X28" i="48"/>
  <c r="AD12" i="48"/>
  <c r="P24" i="48"/>
  <c r="M15" i="48"/>
  <c r="AH16" i="48"/>
  <c r="R11" i="48"/>
  <c r="Q13" i="48"/>
  <c r="J16" i="48"/>
  <c r="P18" i="48"/>
  <c r="AJ17" i="48"/>
  <c r="K20" i="48"/>
  <c r="AG23" i="48"/>
  <c r="AE14" i="48"/>
  <c r="O17" i="48"/>
  <c r="Z26" i="48"/>
  <c r="Y18" i="48"/>
  <c r="R27" i="48"/>
  <c r="AH20" i="48"/>
  <c r="K11" i="48"/>
  <c r="O21" i="48"/>
  <c r="AH11" i="48"/>
  <c r="O26" i="48"/>
  <c r="AI20" i="48"/>
  <c r="AE17" i="48"/>
  <c r="S28" i="48"/>
  <c r="I16" i="48"/>
  <c r="AC24" i="48"/>
  <c r="J24" i="48"/>
  <c r="L9" i="48"/>
  <c r="AG15" i="48"/>
  <c r="Z27" i="48"/>
  <c r="AD15" i="48"/>
  <c r="Z17" i="48"/>
  <c r="AJ25" i="48"/>
  <c r="X14" i="48"/>
  <c r="M9" i="48"/>
  <c r="W11" i="48"/>
  <c r="W10" i="48"/>
  <c r="X9" i="48"/>
  <c r="Q24" i="48"/>
  <c r="AA18" i="48"/>
  <c r="T10" i="48"/>
  <c r="AG19" i="48"/>
  <c r="M21" i="48"/>
  <c r="N17" i="48"/>
  <c r="P13" i="48"/>
  <c r="Z11" i="48"/>
  <c r="AE24" i="48"/>
  <c r="AA16" i="48"/>
  <c r="AI24" i="48"/>
  <c r="Y26" i="48"/>
  <c r="AL16" i="48"/>
  <c r="AE13" i="48"/>
  <c r="K21" i="48"/>
  <c r="AJ13" i="48"/>
  <c r="AI23" i="48"/>
  <c r="T13" i="48"/>
  <c r="W9" i="48"/>
  <c r="Q26" i="48"/>
  <c r="L23" i="48"/>
  <c r="N22" i="48"/>
  <c r="X17" i="48"/>
  <c r="AA14" i="48"/>
  <c r="AA23" i="48"/>
  <c r="AL28" i="48"/>
  <c r="P25" i="48"/>
  <c r="K22" i="48"/>
  <c r="Y11" i="48"/>
  <c r="J11" i="48"/>
  <c r="AG13" i="48"/>
  <c r="U18" i="48"/>
  <c r="AK28" i="48"/>
  <c r="R16" i="48"/>
  <c r="Y23" i="48"/>
  <c r="S9" i="48"/>
  <c r="Z20" i="48"/>
  <c r="M13" i="48"/>
  <c r="P28" i="48"/>
  <c r="V13" i="48"/>
  <c r="AD18" i="48"/>
  <c r="X21" i="48"/>
  <c r="M25" i="48"/>
  <c r="AA17" i="48"/>
  <c r="AE26" i="48"/>
  <c r="AI27" i="48"/>
  <c r="AG14" i="48"/>
  <c r="AG20" i="48"/>
  <c r="AE23" i="48"/>
  <c r="AB26" i="48"/>
  <c r="AI16" i="48"/>
  <c r="AD23" i="48"/>
  <c r="AC15" i="48"/>
  <c r="AB14" i="48"/>
  <c r="L10" i="48"/>
  <c r="J21" i="48"/>
  <c r="Y17" i="48"/>
  <c r="M20" i="48"/>
  <c r="P11" i="48"/>
  <c r="P14" i="48"/>
  <c r="AL25" i="48"/>
  <c r="X19" i="48"/>
  <c r="I21" i="48"/>
  <c r="X26" i="48"/>
  <c r="AC17" i="48"/>
  <c r="AC26" i="48"/>
  <c r="AE20" i="48"/>
  <c r="AB25" i="48"/>
  <c r="K26" i="48"/>
  <c r="AJ27" i="48"/>
  <c r="Y22" i="48"/>
  <c r="R14" i="48"/>
  <c r="V21" i="48"/>
  <c r="J26" i="48"/>
  <c r="AL12" i="48"/>
  <c r="S17" i="48"/>
  <c r="I14" i="48"/>
  <c r="AL23" i="48"/>
  <c r="AI10" i="48"/>
  <c r="V11" i="48"/>
  <c r="Z13" i="48"/>
  <c r="J25" i="48"/>
  <c r="AF12" i="48"/>
  <c r="R15" i="48"/>
  <c r="AG18" i="48"/>
  <c r="M10" i="48"/>
  <c r="Y15" i="48"/>
  <c r="W17" i="48"/>
  <c r="K18" i="48"/>
  <c r="AG9" i="48"/>
  <c r="AC13" i="48"/>
  <c r="AL18" i="48"/>
  <c r="I11" i="48"/>
  <c r="AG11" i="48"/>
  <c r="AB9" i="48"/>
  <c r="Q10" i="48"/>
  <c r="Q14" i="48"/>
  <c r="I15" i="48"/>
  <c r="S22" i="48"/>
  <c r="T24" i="48"/>
  <c r="Q27" i="48"/>
  <c r="U13" i="48"/>
  <c r="M24" i="48"/>
  <c r="V23" i="48"/>
  <c r="Y10" i="48"/>
  <c r="L17" i="48"/>
  <c r="AG24" i="48"/>
  <c r="Z14" i="48"/>
  <c r="K28" i="48"/>
  <c r="AG22" i="48"/>
  <c r="Q17" i="48"/>
  <c r="AD17" i="48"/>
  <c r="V26" i="48"/>
  <c r="I28" i="48"/>
  <c r="S27" i="48"/>
  <c r="S14" i="48"/>
  <c r="W16" i="48"/>
  <c r="AK25" i="48"/>
  <c r="K23" i="48"/>
  <c r="AE12" i="48"/>
  <c r="Y13" i="48"/>
  <c r="R24" i="48"/>
  <c r="K10" i="48"/>
  <c r="J28" i="48"/>
  <c r="AH13" i="48"/>
  <c r="AF14" i="48"/>
  <c r="AB27" i="48"/>
  <c r="K24" i="48"/>
  <c r="AJ18" i="48"/>
  <c r="R9" i="48"/>
  <c r="AF13" i="48"/>
  <c r="P21" i="48"/>
  <c r="L15" i="48"/>
  <c r="AG21" i="48"/>
  <c r="W22" i="48"/>
  <c r="AK18" i="48"/>
  <c r="I26" i="48"/>
  <c r="AA15" i="48"/>
  <c r="P23" i="48"/>
  <c r="AI21" i="48"/>
  <c r="AB16" i="48"/>
  <c r="AH19" i="48"/>
  <c r="AD11" i="48"/>
  <c r="AB10" i="48"/>
  <c r="O24" i="48"/>
  <c r="U20" i="48"/>
  <c r="Z15" i="48"/>
  <c r="AF23" i="48"/>
  <c r="L19" i="48"/>
  <c r="X23" i="48"/>
  <c r="AK10" i="48"/>
  <c r="T18" i="48"/>
  <c r="T19" i="48"/>
  <c r="AG10" i="48"/>
  <c r="T21" i="48"/>
  <c r="AK9" i="48"/>
  <c r="AC18" i="48"/>
  <c r="AH14" i="48"/>
  <c r="U28" i="48"/>
  <c r="L14" i="48"/>
  <c r="AF21" i="48"/>
  <c r="X13" i="48"/>
  <c r="Z23" i="48"/>
  <c r="P9" i="48"/>
  <c r="AB22" i="48"/>
  <c r="K17" i="48"/>
  <c r="AG26" i="48"/>
  <c r="AL10" i="48"/>
  <c r="AK19" i="48"/>
  <c r="AL20" i="48"/>
  <c r="I19" i="48"/>
  <c r="AJ15" i="48"/>
  <c r="U10" i="48"/>
  <c r="W25" i="48"/>
  <c r="X22" i="48"/>
  <c r="AF15" i="48"/>
  <c r="AE25" i="48"/>
  <c r="AJ14" i="48"/>
  <c r="M22" i="48"/>
  <c r="T12" i="48"/>
  <c r="Z28" i="48"/>
  <c r="Q11" i="48"/>
  <c r="AD16" i="48"/>
  <c r="Z18" i="48"/>
  <c r="AH12" i="48"/>
  <c r="I24" i="48"/>
  <c r="J22" i="48"/>
  <c r="J27" i="48"/>
  <c r="M28" i="48"/>
  <c r="AJ9" i="48"/>
  <c r="AB24" i="48"/>
  <c r="AB17" i="48"/>
  <c r="L18" i="48"/>
  <c r="U17" i="48"/>
  <c r="AC21" i="48"/>
  <c r="V9" i="48"/>
  <c r="U25" i="48"/>
  <c r="AL17" i="48"/>
  <c r="AA25" i="48"/>
  <c r="AC14" i="48"/>
  <c r="V27" i="48"/>
  <c r="AA13" i="48"/>
  <c r="AB15" i="48"/>
  <c r="AJ26" i="48"/>
  <c r="N18" i="48"/>
  <c r="Z19" i="48"/>
  <c r="V20" i="48"/>
  <c r="AC11" i="48"/>
  <c r="K12" i="48"/>
  <c r="R10" i="48"/>
  <c r="M11" i="48"/>
  <c r="AE27" i="48"/>
  <c r="S15" i="48"/>
  <c r="L11" i="48"/>
  <c r="N15" i="48"/>
  <c r="AK24" i="48"/>
  <c r="AC16" i="48"/>
  <c r="P15" i="48"/>
  <c r="P16" i="48"/>
  <c r="AE15" i="48"/>
  <c r="U21" i="48"/>
  <c r="Y16" i="48"/>
  <c r="X20" i="48"/>
  <c r="U14" i="48"/>
  <c r="S16" i="48"/>
  <c r="U23" i="48"/>
  <c r="AK12" i="48"/>
  <c r="O14" i="48"/>
  <c r="V28" i="48"/>
  <c r="M18" i="48"/>
  <c r="K14" i="48"/>
  <c r="AC27" i="48"/>
  <c r="O18" i="48"/>
  <c r="W26" i="48"/>
  <c r="AF27" i="48"/>
  <c r="AJ20" i="48"/>
  <c r="AH18" i="48"/>
  <c r="Z12" i="48"/>
  <c r="T22" i="48"/>
  <c r="J14" i="48"/>
  <c r="AH25" i="48"/>
  <c r="AI25" i="48"/>
  <c r="AC9" i="48"/>
  <c r="M12" i="48"/>
  <c r="N23" i="48"/>
  <c r="N9" i="48"/>
  <c r="U27" i="48"/>
  <c r="R12" i="48"/>
  <c r="AH26" i="48"/>
  <c r="X11" i="48"/>
  <c r="M14" i="48"/>
  <c r="V18" i="48"/>
  <c r="Q15" i="48"/>
  <c r="AA27" i="48"/>
  <c r="AD26" i="48"/>
  <c r="W27" i="48"/>
  <c r="AF17" i="48"/>
  <c r="L20" i="48"/>
  <c r="W12" i="48"/>
  <c r="Z24" i="48"/>
  <c r="J10" i="48"/>
  <c r="T23" i="48"/>
  <c r="T11" i="48"/>
  <c r="J20" i="48"/>
  <c r="K16" i="48"/>
  <c r="V15" i="48"/>
  <c r="AG28" i="48"/>
  <c r="AK16" i="48"/>
  <c r="AA19" i="48"/>
  <c r="P20" i="48"/>
  <c r="N21" i="48"/>
  <c r="Q20" i="48"/>
  <c r="O25" i="48"/>
  <c r="J15" i="48"/>
  <c r="I20" i="48"/>
  <c r="S13" i="48"/>
  <c r="X24" i="48"/>
  <c r="Z25" i="48"/>
  <c r="T20" i="48"/>
  <c r="Q16" i="48"/>
  <c r="AJ10" i="48"/>
  <c r="AA10" i="48"/>
  <c r="O23" i="48"/>
  <c r="O13" i="48"/>
  <c r="X27" i="48"/>
  <c r="S18" i="48"/>
  <c r="AG12" i="48"/>
  <c r="AE16" i="48"/>
  <c r="AB28" i="48"/>
  <c r="N12" i="48"/>
  <c r="T26" i="48"/>
  <c r="Q25" i="48"/>
  <c r="AL26" i="48"/>
  <c r="I12" i="48"/>
  <c r="L12" i="48"/>
  <c r="Y20" i="48"/>
  <c r="N19" i="48"/>
  <c r="L22" i="48"/>
  <c r="AE10" i="48"/>
  <c r="N25" i="48"/>
  <c r="AI18" i="48"/>
  <c r="J23" i="48"/>
  <c r="AA22" i="48"/>
  <c r="AH22" i="48"/>
  <c r="AA24" i="48"/>
  <c r="L21" i="48"/>
  <c r="AD20" i="48"/>
  <c r="V25" i="48"/>
  <c r="AE18" i="48"/>
  <c r="AD27" i="48"/>
  <c r="V14" i="48"/>
  <c r="T14" i="48"/>
  <c r="AC12" i="48"/>
  <c r="N28" i="48"/>
  <c r="AF9" i="48"/>
  <c r="AB18" i="48"/>
  <c r="O15" i="48"/>
  <c r="X12" i="48"/>
  <c r="AI28" i="48"/>
  <c r="V17" i="48"/>
  <c r="AE9" i="48"/>
  <c r="AG25" i="48"/>
  <c r="AA26" i="48"/>
  <c r="R25" i="48"/>
  <c r="AB23" i="48"/>
  <c r="AG16" i="48"/>
  <c r="P22" i="48"/>
  <c r="AK14" i="48"/>
  <c r="S26" i="48"/>
  <c r="W23" i="48"/>
  <c r="J19" i="48"/>
  <c r="U15" i="48"/>
  <c r="W15" i="48"/>
  <c r="R22" i="48"/>
  <c r="AJ23" i="48"/>
  <c r="U9" i="48"/>
  <c r="L26" i="48"/>
  <c r="P12" i="48"/>
  <c r="V12" i="48"/>
  <c r="L24" i="48"/>
  <c r="O20" i="48"/>
  <c r="Y28" i="48"/>
  <c r="AJ12" i="48"/>
  <c r="I22" i="48"/>
  <c r="M19" i="48"/>
  <c r="R17" i="48"/>
  <c r="J13" i="48"/>
  <c r="AF19" i="48"/>
  <c r="AD22" i="48"/>
  <c r="AI26" i="48"/>
  <c r="S20" i="48"/>
  <c r="AL11" i="48"/>
  <c r="AH24" i="48"/>
  <c r="AL13" i="48"/>
  <c r="AK27" i="48"/>
  <c r="I13" i="48"/>
  <c r="AJ22" i="48"/>
  <c r="O9" i="48"/>
  <c r="AK11" i="48"/>
  <c r="AH9" i="48"/>
  <c r="K13" i="48"/>
  <c r="AA28" i="48"/>
  <c r="N11" i="48"/>
  <c r="U16" i="48"/>
  <c r="U12" i="48"/>
  <c r="N16" i="48"/>
  <c r="R18" i="48"/>
  <c r="M16" i="48"/>
  <c r="AE19" i="48"/>
  <c r="AB21" i="48"/>
  <c r="O16" i="48"/>
  <c r="AI15" i="48"/>
  <c r="S25" i="48"/>
  <c r="AI17" i="48"/>
  <c r="W19" i="48"/>
  <c r="S11" i="48"/>
  <c r="O10" i="48"/>
  <c r="I9" i="48"/>
  <c r="T27" i="48"/>
  <c r="AD14" i="48"/>
  <c r="Q12" i="48"/>
  <c r="AB20" i="48"/>
  <c r="Q9" i="48"/>
  <c r="I18" i="48"/>
  <c r="Q28" i="48"/>
  <c r="L13" i="48"/>
  <c r="Q22" i="48"/>
  <c r="Y21" i="48"/>
  <c r="AK13" i="48"/>
  <c r="AJ24" i="48"/>
  <c r="AA12" i="48"/>
  <c r="AC25" i="48"/>
  <c r="T25" i="48"/>
  <c r="K15" i="48"/>
  <c r="AE11" i="48"/>
  <c r="Z16" i="48"/>
  <c r="AL19" i="48"/>
  <c r="T28" i="48"/>
  <c r="AB12" i="48"/>
  <c r="X18" i="48"/>
  <c r="AG17" i="48"/>
  <c r="Z10" i="48"/>
  <c r="AF22" i="48"/>
  <c r="N10" i="48"/>
  <c r="V19" i="48"/>
  <c r="AH21" i="48"/>
  <c r="Q23" i="48"/>
  <c r="Y25" i="48"/>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I35" i="51" a="1"/>
  <c r="Y35" i="51" a="1"/>
  <c r="X35" i="51" a="1"/>
  <c r="AI35" i="51" l="1"/>
  <c r="Y35" i="51"/>
  <c r="Z35" i="51" s="1" a="1"/>
  <c r="X35" i="51"/>
  <c r="AJ35" i="51"/>
  <c r="W35" i="51" l="1" a="1"/>
  <c r="AH35" i="51" a="1"/>
  <c r="Z35" i="51"/>
  <c r="W35" i="51" l="1"/>
  <c r="Z33" i="51" a="1"/>
  <c r="H8" i="51" a="1"/>
  <c r="AH35" i="51"/>
  <c r="W42" i="46"/>
  <c r="E36" i="51" l="1"/>
  <c r="E37" i="51"/>
  <c r="E35" i="51"/>
  <c r="H8" i="51"/>
  <c r="D34" i="51" s="1"/>
  <c r="Z33" i="51"/>
  <c r="W78" i="46"/>
  <c r="V4" i="46" s="1"/>
  <c r="F35" i="51" l="1"/>
  <c r="AA35" i="51" a="1"/>
  <c r="K8" i="51" a="1"/>
  <c r="AB35" i="51" a="1"/>
  <c r="J8" i="51" a="1"/>
  <c r="F37" i="51"/>
  <c r="F36" i="51"/>
  <c r="BU3" i="46"/>
  <c r="Y3" i="46"/>
  <c r="AQ3" i="46"/>
  <c r="AZ3" i="46"/>
  <c r="BI3" i="46"/>
  <c r="BO3" i="46"/>
  <c r="BR3" i="46"/>
  <c r="AB3" i="46"/>
  <c r="AH3" i="46"/>
  <c r="AN3" i="46"/>
  <c r="CA3" i="46"/>
  <c r="AK3" i="46"/>
  <c r="S3" i="46"/>
  <c r="CG3" i="46"/>
  <c r="CJ3" i="46"/>
  <c r="BL3" i="46"/>
  <c r="AE3" i="46"/>
  <c r="CD3" i="46"/>
  <c r="CM3" i="46"/>
  <c r="BX3" i="46"/>
  <c r="AW3" i="46"/>
  <c r="V3" i="46"/>
  <c r="BC3" i="46"/>
  <c r="AT3" i="46"/>
  <c r="V2" i="46"/>
  <c r="BF3" i="46"/>
  <c r="J8" i="51" l="1"/>
  <c r="AB35" i="51"/>
  <c r="K8" i="51"/>
  <c r="AA35" i="51"/>
  <c r="AC35" i="51" s="1" a="1"/>
  <c r="AK1" i="46"/>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AC35" i="51" l="1"/>
  <c r="R14" i="47"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<sst xmlns="http://schemas.openxmlformats.org/spreadsheetml/2006/main" count="11899" uniqueCount="2421">
  <si>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</si>
  <si>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</si>
  <si>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</si>
  <si>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</si>
  <si>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</si>
  <si>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</si>
  <si>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</si>
  <si>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</si>
  <si>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</si>
  <si>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</si>
  <si>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</si>
  <si>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</si>
  <si>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</si>
  <si>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</si>
  <si>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</si>
  <si>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</si>
  <si>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</si>
  <si>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</si>
  <si>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</si>
  <si>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</si>
  <si>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</si>
  <si>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</si>
  <si>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</si>
  <si>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</si>
  <si>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</si>
  <si>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</si>
  <si>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</si>
  <si>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</si>
  <si>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</si>
  <si>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</si>
  <si>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</si>
  <si>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</si>
  <si>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</si>
  <si>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</si>
  <si>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</si>
  <si>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</si>
  <si>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</si>
  <si>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</si>
  <si>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</si>
  <si>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</si>
  <si>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</si>
  <si>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</si>
  <si>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</si>
  <si>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</si>
  <si>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</si>
  <si>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</si>
  <si>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</si>
  <si>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</si>
  <si>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</si>
  <si>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</si>
  <si>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</si>
  <si>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</si>
  <si>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</si>
  <si>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</si>
  <si>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</si>
  <si>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</si>
  <si>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</si>
  <si>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</si>
  <si>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</si>
  <si>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</si>
  <si>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</si>
  <si>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</si>
  <si>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</si>
  <si>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</si>
  <si>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</si>
  <si>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</si>
  <si>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</si>
  <si>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</si>
  <si>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</si>
  <si>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</si>
  <si>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</si>
  <si>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</si>
  <si>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</si>
  <si>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</si>
  <si>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</si>
  <si>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</si>
  <si>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</si>
  <si>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</si>
  <si>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</si>
  <si>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</si>
  <si>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</si>
  <si>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</si>
  <si>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</si>
  <si>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</si>
  <si>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</si>
  <si>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</si>
  <si>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</si>
  <si>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</si>
  <si>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</si>
  <si>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</si>
  <si>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</si>
  <si>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</si>
  <si>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</si>
  <si>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</si>
  <si>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</si>
  <si>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</si>
  <si>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</si>
  <si>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</si>
  <si>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</si>
  <si>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</si>
  <si>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</si>
  <si>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</si>
  <si>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</si>
  <si>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</si>
  <si>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</si>
  <si>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</si>
  <si>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</si>
  <si>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</si>
  <si>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</si>
  <si>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</si>
  <si>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</si>
  <si>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</si>
  <si>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</si>
  <si>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</si>
  <si>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</si>
  <si>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</si>
  <si>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</si>
  <si>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</si>
  <si>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</si>
  <si>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</si>
  <si>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</si>
  <si>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</si>
  <si>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</si>
  <si>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</si>
  <si>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</si>
  <si>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</si>
  <si>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</si>
  <si>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</si>
  <si>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</si>
  <si>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</si>
  <si>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</si>
  <si>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</si>
  <si>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</si>
  <si>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</si>
  <si>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</si>
  <si>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</si>
  <si>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</si>
  <si>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</si>
  <si>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</si>
  <si>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</si>
  <si>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</si>
  <si>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</si>
  <si>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</si>
  <si>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</si>
  <si>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</si>
  <si>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</si>
  <si>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</si>
  <si>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</si>
  <si>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</si>
  <si>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</si>
  <si>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</si>
  <si>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</si>
  <si>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</si>
  <si>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</si>
  <si>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</si>
  <si>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</si>
  <si>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</si>
  <si>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</si>
  <si>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</si>
  <si>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</si>
  <si>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</si>
  <si>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</si>
  <si>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</si>
  <si>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</si>
  <si>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</si>
  <si>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</si>
  <si>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</si>
  <si>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</si>
  <si>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</si>
  <si>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</si>
  <si>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</si>
  <si>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</si>
  <si>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</si>
  <si>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</si>
  <si>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</si>
  <si>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</si>
  <si>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</si>
  <si>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</si>
  <si>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</si>
  <si>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</si>
  <si>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</si>
  <si>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</si>
  <si>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</si>
  <si>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</si>
  <si>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</si>
  <si>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</si>
  <si>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</si>
  <si>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</si>
  <si>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</si>
  <si>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</si>
  <si>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</si>
  <si>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</si>
  <si>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</si>
  <si>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</si>
  <si>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</si>
  <si>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</si>
  <si>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</si>
  <si>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</si>
  <si>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</si>
  <si>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</si>
  <si>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</si>
  <si>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</si>
  <si>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</si>
  <si>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</si>
  <si>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</si>
  <si>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</si>
  <si>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</si>
  <si>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</si>
  <si>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</si>
  <si>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</si>
  <si>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</si>
  <si>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</si>
  <si>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</si>
  <si>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</si>
  <si>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</si>
  <si>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</si>
  <si>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</si>
  <si>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</si>
  <si>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</si>
  <si>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</si>
  <si>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</si>
  <si>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</si>
  <si>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</si>
  <si>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</si>
  <si>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</si>
  <si>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</si>
  <si>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</si>
  <si>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</si>
  <si>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</si>
  <si>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</si>
  <si>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</si>
  <si>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</si>
  <si>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</si>
  <si>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</si>
  <si>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</si>
  <si>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</si>
  <si>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</si>
  <si>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</si>
  <si>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</si>
  <si>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</si>
  <si>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</si>
  <si>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</si>
  <si>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</si>
  <si>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</si>
  <si>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</si>
  <si>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</si>
  <si>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</si>
  <si>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</si>
  <si>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</si>
  <si>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</si>
  <si>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</si>
  <si>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</si>
  <si>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</si>
  <si>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</si>
  <si>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</si>
  <si>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</si>
  <si>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</si>
  <si>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</si>
  <si>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</si>
  <si>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</si>
  <si>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</si>
  <si>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</si>
  <si>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</si>
  <si>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</si>
  <si>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</si>
  <si>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</si>
  <si>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</si>
  <si>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</si>
  <si>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</si>
  <si>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</si>
  <si>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</si>
  <si>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</si>
  <si>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</si>
  <si>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</si>
  <si>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</si>
  <si>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</si>
  <si>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</si>
  <si>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</si>
  <si>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</si>
  <si>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</si>
  <si>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</si>
  <si>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</si>
  <si>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</si>
  <si>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</si>
  <si>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</si>
  <si>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</si>
  <si>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</si>
  <si>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</si>
  <si>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</si>
  <si>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</si>
  <si>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</si>
  <si>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</si>
  <si>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</si>
  <si>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</si>
  <si>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</si>
  <si>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</si>
  <si>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</si>
  <si>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</si>
  <si>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</si>
  <si>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</si>
  <si>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</si>
  <si>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</si>
  <si>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</si>
  <si>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</si>
  <si>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</si>
  <si>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</si>
  <si>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</si>
  <si>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</si>
  <si>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</si>
  <si>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</si>
  <si>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</si>
  <si>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</si>
  <si>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</si>
  <si>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</si>
  <si>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</si>
  <si>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</si>
  <si>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</si>
  <si>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</si>
  <si>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</si>
  <si>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</si>
  <si>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</si>
  <si>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</si>
  <si>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</si>
  <si>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</si>
  <si>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</si>
  <si>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</si>
  <si>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</si>
  <si>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</si>
  <si>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</si>
  <si>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</si>
  <si>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</si>
  <si>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</si>
  <si>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</si>
  <si>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</si>
  <si>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</si>
  <si>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</si>
  <si>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</si>
  <si>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</si>
  <si>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</si>
  <si>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</si>
  <si>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</si>
  <si>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</si>
  <si>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</si>
  <si>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</si>
  <si>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</si>
  <si>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</si>
  <si>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</si>
  <si>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</si>
  <si>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</si>
  <si>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</si>
  <si>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</si>
  <si>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</si>
  <si>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</si>
  <si>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</si>
  <si>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</si>
  <si>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</si>
  <si>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</si>
  <si>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</si>
  <si>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</si>
  <si>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</si>
  <si>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</si>
  <si>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</si>
  <si>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</si>
  <si>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</si>
  <si>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</si>
  <si>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</si>
  <si>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</si>
  <si>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</si>
  <si>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</si>
  <si>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</si>
  <si>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</si>
  <si>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</si>
  <si>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</si>
  <si>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</si>
  <si>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</si>
  <si>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</si>
  <si>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</si>
  <si>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</si>
  <si>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</si>
  <si>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</si>
  <si>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</si>
  <si>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</si>
  <si>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</si>
  <si>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</si>
  <si>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</si>
  <si>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</si>
  <si>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</si>
  <si>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</si>
  <si>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</si>
  <si>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</si>
  <si>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</si>
  <si>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</si>
  <si>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</si>
  <si>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</si>
  <si>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</si>
  <si>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</si>
  <si>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</si>
  <si>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</si>
  <si>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</si>
  <si>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</si>
  <si>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</si>
  <si>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</si>
  <si>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</si>
  <si>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</si>
  <si>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</si>
  <si>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</si>
  <si>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</si>
  <si>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</si>
  <si>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</si>
  <si>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</si>
  <si>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</si>
  <si>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</si>
  <si>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</si>
  <si>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</si>
  <si>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</si>
  <si>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</si>
  <si>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</si>
  <si>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</si>
  <si>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</si>
  <si>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</si>
  <si>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</si>
  <si>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</si>
  <si>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</si>
  <si>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</si>
  <si>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</si>
  <si>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</si>
  <si>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</si>
  <si>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</si>
  <si>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</si>
  <si>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</si>
  <si>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</si>
  <si>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</si>
  <si>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</si>
  <si>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</si>
  <si>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</si>
  <si>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</si>
  <si>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</si>
  <si>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</si>
  <si>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</si>
  <si>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</si>
  <si>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</si>
  <si>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</si>
  <si>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</si>
  <si>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</si>
  <si>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</si>
  <si>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</si>
  <si>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</si>
  <si>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</si>
  <si>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</si>
  <si>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</si>
  <si>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</si>
  <si>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</si>
  <si>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</si>
  <si>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</si>
  <si>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</si>
  <si>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</si>
  <si>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</si>
  <si>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</si>
  <si>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</si>
  <si>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</si>
  <si>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</si>
  <si>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</si>
  <si>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</si>
  <si>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</si>
  <si>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</si>
  <si>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</si>
  <si>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</si>
  <si>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</si>
  <si>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</si>
  <si>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</si>
  <si>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</si>
  <si>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</si>
  <si>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</si>
  <si>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</si>
  <si>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</si>
  <si>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</si>
  <si>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</si>
  <si>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</si>
  <si>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</si>
  <si>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</si>
  <si>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</si>
  <si>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</si>
  <si>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</si>
  <si>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</si>
  <si>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</si>
  <si>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</si>
  <si>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</si>
  <si>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</si>
  <si>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</si>
  <si>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</si>
  <si>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</si>
  <si>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</si>
  <si>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</si>
  <si>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</si>
  <si>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</si>
  <si>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</si>
  <si>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</si>
  <si>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</si>
  <si>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</si>
  <si>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</si>
  <si>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</si>
  <si>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</si>
  <si>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</si>
  <si>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</si>
  <si>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</si>
  <si>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</si>
  <si>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</si>
  <si>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</si>
  <si>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</si>
  <si>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</si>
  <si>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</si>
  <si>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</si>
  <si>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</si>
  <si>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</si>
  <si>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</si>
  <si>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</si>
  <si>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</si>
  <si>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</si>
  <si>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</si>
  <si>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</si>
  <si>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</si>
  <si>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</si>
  <si>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</si>
  <si>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</si>
  <si>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</si>
  <si>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</si>
  <si>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</si>
  <si>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</si>
  <si>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</si>
  <si>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</si>
  <si>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</si>
  <si>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</si>
  <si>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</si>
  <si>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</si>
  <si>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</si>
  <si>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</si>
  <si>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</si>
  <si>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</si>
  <si>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</si>
  <si>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</si>
  <si>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</si>
  <si>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</si>
  <si>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</si>
  <si>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</si>
  <si>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</si>
  <si>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</si>
  <si>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</si>
  <si>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</si>
  <si>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</si>
  <si>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</si>
  <si>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</si>
  <si>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</si>
  <si>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</si>
  <si>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</si>
  <si>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</si>
  <si>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</si>
  <si>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</si>
  <si>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</si>
  <si>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</si>
  <si>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</si>
  <si>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</si>
  <si>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</si>
  <si>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</si>
  <si>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</si>
  <si>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</si>
  <si>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</si>
  <si>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</si>
  <si>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</si>
  <si>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</si>
  <si>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</si>
  <si>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</si>
  <si>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</si>
  <si>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</si>
  <si>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</si>
  <si>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</si>
  <si>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</si>
  <si>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</si>
  <si>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</si>
  <si>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</si>
  <si>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</si>
  <si>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</si>
  <si>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</si>
  <si>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</si>
  <si>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</si>
  <si>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</si>
  <si>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</si>
  <si>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</si>
  <si>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</si>
  <si>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</si>
  <si>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</si>
  <si>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</si>
  <si>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</si>
  <si>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</si>
  <si>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</si>
  <si>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</si>
  <si>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</si>
  <si>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</si>
  <si>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</si>
  <si>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</si>
  <si>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</si>
  <si>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</si>
  <si>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</si>
  <si>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</si>
  <si>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</si>
  <si>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</si>
  <si>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</si>
  <si>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</si>
  <si>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</si>
  <si>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</si>
  <si>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</si>
  <si>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</si>
  <si>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</si>
  <si>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</si>
  <si>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</si>
  <si>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</si>
  <si>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</si>
  <si>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</si>
  <si>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</si>
  <si>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</si>
  <si>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</si>
  <si>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</si>
  <si>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</si>
  <si>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</si>
  <si>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</si>
  <si>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</si>
  <si>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</si>
  <si>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</si>
  <si>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</si>
  <si>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</si>
  <si>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</si>
  <si>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</si>
  <si>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</si>
  <si>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</si>
  <si>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</si>
  <si>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</si>
  <si>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</si>
  <si>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</si>
  <si>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</si>
  <si>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</si>
  <si>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</si>
  <si>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</si>
  <si>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</si>
  <si>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</si>
  <si>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</si>
  <si>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</si>
  <si>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</si>
  <si>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</si>
  <si>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</si>
  <si>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</si>
  <si>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</si>
  <si>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</si>
  <si>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</si>
  <si>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</si>
  <si>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</si>
  <si>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</si>
  <si>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</si>
  <si>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</si>
  <si>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</si>
  <si>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</si>
  <si>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</si>
  <si>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</si>
  <si>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</si>
  <si>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</si>
  <si>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</si>
  <si>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</si>
  <si>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</si>
  <si>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</si>
  <si>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</si>
  <si>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</si>
  <si>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</si>
  <si>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</si>
  <si>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</si>
  <si>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</si>
  <si>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</si>
  <si>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</si>
  <si>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</si>
  <si>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</si>
  <si>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</si>
  <si>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</si>
  <si>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</si>
  <si>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</si>
  <si>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</si>
  <si>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</si>
  <si>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</si>
  <si>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</si>
  <si>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</si>
  <si>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</si>
  <si>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</si>
  <si>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</si>
  <si>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</si>
  <si>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</si>
  <si>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</si>
  <si>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</si>
  <si>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</si>
  <si>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</si>
  <si>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</si>
  <si>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</si>
  <si>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</si>
  <si>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</si>
  <si>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</si>
  <si>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</si>
  <si>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</si>
  <si>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</si>
  <si>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</si>
  <si>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</si>
  <si>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</si>
  <si>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</si>
  <si>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</si>
  <si>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</si>
  <si>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</si>
  <si>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</si>
  <si>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</si>
  <si>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</si>
  <si>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</si>
  <si>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</si>
  <si>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</si>
  <si>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</si>
  <si>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</si>
  <si>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</si>
  <si>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</si>
  <si>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</si>
  <si>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</si>
  <si>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</si>
  <si>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</si>
  <si>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</si>
  <si>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</si>
  <si>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</si>
  <si>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</si>
  <si>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</si>
  <si>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</si>
  <si>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</si>
  <si>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</si>
  <si>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</si>
  <si>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</si>
  <si>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</si>
  <si>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</si>
  <si>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</si>
  <si>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</si>
  <si>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</si>
  <si>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</si>
  <si>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</si>
  <si>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</si>
  <si>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</si>
  <si>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</si>
  <si>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</si>
  <si>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</si>
  <si>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</si>
  <si>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</si>
  <si>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</si>
  <si>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</si>
  <si>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</si>
  <si>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</si>
  <si>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</si>
  <si>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</si>
  <si>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</si>
  <si>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</si>
  <si>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</si>
  <si>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</si>
  <si>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</si>
  <si>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</si>
  <si>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</si>
  <si>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</si>
  <si>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</si>
  <si>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</si>
  <si>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</si>
  <si>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</si>
  <si>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</si>
  <si>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</si>
  <si>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</si>
  <si>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</si>
  <si>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</si>
  <si>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</si>
  <si>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</si>
  <si>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</si>
  <si>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</si>
  <si>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</si>
  <si>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</si>
  <si>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</si>
  <si>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</si>
  <si>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</si>
  <si>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</si>
  <si>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</si>
  <si>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</si>
  <si>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</si>
  <si>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</si>
  <si>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</si>
  <si>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</si>
  <si>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</si>
  <si>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</si>
  <si>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</si>
  <si>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</si>
  <si>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</si>
  <si>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</si>
  <si>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</si>
  <si>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</si>
  <si>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</si>
  <si>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</si>
  <si>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</si>
  <si>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</si>
  <si>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</si>
  <si>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</si>
  <si>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</si>
  <si>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</si>
  <si>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</si>
  <si>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</si>
  <si>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</si>
  <si>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</si>
  <si>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</si>
  <si>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</si>
  <si>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</si>
  <si>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</si>
  <si>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</si>
  <si>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</si>
  <si>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</si>
  <si>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</si>
  <si>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</si>
  <si>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</si>
  <si>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</si>
  <si>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</si>
  <si>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</si>
  <si>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</si>
  <si>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</si>
  <si>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</si>
  <si>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</si>
  <si>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</si>
  <si>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</si>
  <si>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</si>
  <si>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</si>
  <si>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</si>
  <si>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</si>
  <si>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</si>
  <si>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</si>
  <si>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</si>
  <si>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</si>
  <si>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</si>
  <si>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</si>
  <si>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</si>
  <si>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</si>
  <si>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</si>
  <si>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</si>
  <si>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</si>
  <si>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</si>
  <si>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</si>
  <si>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</si>
  <si>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</si>
  <si>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</si>
  <si>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</si>
  <si>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</si>
  <si>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</si>
  <si>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</si>
  <si>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</si>
  <si>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</si>
  <si>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</si>
  <si>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</si>
  <si>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</si>
  <si>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</si>
  <si>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</si>
  <si>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</si>
  <si>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</si>
  <si>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</si>
  <si>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</si>
  <si>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</si>
  <si>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</si>
  <si>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</si>
  <si>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</si>
  <si>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</si>
  <si>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</si>
  <si>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</si>
  <si>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</si>
  <si>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</si>
  <si>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</si>
  <si>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</si>
  <si>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</si>
  <si>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</si>
  <si>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</si>
  <si>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</si>
  <si>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</si>
  <si>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</si>
  <si>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</si>
  <si>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</si>
  <si>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</si>
  <si>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</si>
  <si>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</si>
  <si>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</si>
  <si>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</si>
  <si>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</si>
  <si>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</si>
  <si>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</si>
  <si>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</si>
  <si>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</si>
  <si>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</si>
  <si>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</si>
  <si>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</si>
  <si>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</si>
  <si>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</si>
  <si>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</si>
  <si>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</si>
  <si>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</si>
  <si>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</si>
  <si>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</si>
  <si>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</si>
  <si>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</si>
  <si>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</si>
  <si>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</si>
  <si>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</si>
  <si>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</si>
  <si>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</si>
  <si>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</si>
  <si>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</si>
  <si>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</si>
  <si>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</si>
  <si>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</si>
  <si>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</si>
  <si>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</si>
  <si>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</si>
  <si>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</si>
  <si>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</si>
  <si>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</si>
  <si>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</si>
  <si>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</si>
  <si>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</si>
  <si>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</si>
  <si>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</si>
  <si>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</si>
  <si>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</si>
  <si>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</si>
  <si>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</si>
  <si>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</si>
  <si>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</si>
  <si>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</si>
  <si>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</si>
  <si>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</si>
  <si>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</si>
  <si>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</si>
  <si>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</si>
  <si>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</si>
  <si>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</si>
  <si>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</si>
  <si>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</si>
  <si>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</si>
  <si>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</si>
  <si>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</si>
  <si>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</si>
  <si>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</si>
  <si>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</si>
  <si>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</si>
  <si>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</si>
  <si>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</si>
  <si>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</si>
  <si>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</si>
  <si>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</si>
  <si>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</si>
  <si>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</si>
  <si>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</si>
  <si>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</si>
  <si>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</si>
  <si>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</si>
  <si>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</si>
  <si>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</si>
  <si>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</si>
  <si>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</si>
  <si>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</si>
  <si>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</si>
  <si>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</si>
  <si>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</si>
  <si>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</si>
  <si>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</si>
  <si>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</si>
  <si>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</si>
  <si>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</si>
  <si>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</si>
  <si>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</si>
  <si>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</si>
  <si>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</si>
  <si>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</si>
  <si>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</si>
  <si>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</si>
  <si>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</si>
  <si>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</si>
  <si>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</si>
  <si>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</si>
  <si>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</si>
  <si>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</si>
  <si>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</si>
  <si>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</si>
  <si>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</si>
  <si>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</si>
  <si>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</si>
  <si>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</si>
  <si>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</si>
  <si>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</si>
  <si>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</si>
  <si>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</si>
  <si>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</si>
  <si>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</si>
  <si>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</si>
  <si>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</si>
  <si>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</si>
  <si>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</si>
  <si>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</si>
  <si>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</si>
  <si>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</si>
  <si>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</si>
  <si>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</si>
  <si>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</si>
  <si>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</si>
  <si>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</si>
  <si>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</si>
  <si>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</si>
  <si>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</si>
  <si>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</si>
  <si>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</si>
  <si>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</si>
  <si>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</si>
  <si>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</si>
  <si>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</si>
  <si>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</si>
  <si>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</si>
  <si>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</si>
  <si>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</si>
  <si>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</si>
  <si>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</si>
  <si>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</si>
  <si>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</si>
  <si>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</si>
  <si>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</si>
  <si>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</si>
  <si>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</si>
  <si>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</si>
  <si>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</si>
  <si>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</si>
  <si>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</si>
  <si>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</si>
  <si>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</si>
  <si>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</si>
  <si>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</si>
  <si>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</si>
  <si>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</si>
  <si>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</si>
  <si>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</si>
  <si>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</si>
  <si>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</si>
  <si>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</si>
  <si>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</si>
  <si>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</si>
  <si>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</si>
  <si>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</si>
  <si>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</si>
  <si>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</si>
  <si>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</si>
  <si>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</si>
  <si>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</si>
  <si>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</si>
  <si>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</si>
  <si>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</si>
  <si>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</si>
  <si>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</si>
  <si>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</si>
  <si>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</si>
  <si>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</si>
  <si>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</si>
  <si>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</si>
  <si>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</si>
  <si>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</si>
  <si>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</si>
  <si>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</si>
  <si>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</si>
  <si>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</si>
  <si>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</si>
  <si>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</si>
  <si>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</si>
  <si>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</si>
  <si>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</si>
  <si>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</si>
  <si>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</si>
  <si>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</si>
  <si>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</si>
  <si>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</si>
  <si>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</si>
  <si>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</si>
  <si>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</si>
  <si>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</si>
  <si>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</si>
  <si>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</si>
  <si>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</si>
  <si>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</si>
  <si>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</si>
  <si>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</si>
  <si>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</si>
  <si>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</si>
  <si>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</si>
  <si>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</si>
  <si>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</si>
  <si>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</si>
  <si>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</si>
  <si>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</si>
  <si>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</si>
  <si>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</si>
  <si>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</si>
  <si>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</si>
  <si>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</si>
  <si>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</si>
  <si>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</si>
  <si>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</si>
  <si>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</si>
  <si>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</si>
  <si>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</si>
  <si>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</si>
  <si>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</si>
  <si>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</si>
  <si>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</si>
  <si>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</si>
  <si>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</si>
  <si>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</si>
  <si>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</si>
  <si>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</si>
  <si>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</si>
  <si>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</si>
  <si>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</si>
  <si>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</si>
  <si>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</si>
  <si>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</si>
  <si>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</si>
  <si>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</si>
  <si>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</si>
  <si>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</si>
  <si>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</si>
  <si>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</si>
  <si>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</si>
  <si>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</si>
  <si>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</si>
  <si>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</si>
  <si>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</si>
  <si>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</si>
  <si>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</si>
  <si>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</si>
  <si>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</si>
  <si>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</si>
  <si>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</si>
  <si>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</si>
  <si>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</si>
  <si>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</si>
  <si>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</si>
  <si>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</si>
  <si>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</si>
  <si>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</si>
  <si>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</si>
  <si>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</si>
  <si>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</si>
  <si>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</si>
  <si>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</si>
  <si>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</si>
  <si>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</si>
  <si>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</si>
  <si>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</si>
  <si>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</si>
  <si>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</si>
  <si>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</si>
  <si>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</si>
  <si>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</si>
  <si>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</si>
  <si>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</si>
  <si>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</si>
  <si>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</si>
  <si>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</si>
  <si>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</si>
  <si>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</si>
  <si>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</si>
  <si>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</si>
  <si>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</si>
  <si>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</si>
  <si>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</si>
  <si>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</si>
  <si>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</si>
  <si>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</si>
  <si>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</si>
  <si>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</si>
  <si>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</si>
  <si>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</si>
  <si>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</si>
  <si>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</si>
  <si>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</si>
  <si>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</si>
  <si>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</si>
  <si>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</si>
  <si>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</si>
  <si>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</si>
  <si>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</si>
  <si>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</si>
  <si>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</si>
  <si>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</si>
  <si>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</si>
  <si>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</si>
  <si>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</si>
  <si>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</si>
  <si>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</si>
  <si>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</si>
  <si>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</si>
  <si>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</si>
  <si>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</si>
  <si>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</si>
  <si>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</si>
  <si>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</si>
  <si>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</si>
  <si>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</si>
  <si>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</si>
  <si>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</si>
  <si>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</si>
  <si>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</si>
  <si>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</si>
  <si>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</si>
  <si>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</si>
  <si>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</si>
  <si>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</si>
  <si>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</si>
  <si>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</si>
  <si>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</si>
  <si>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</si>
  <si>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</si>
  <si>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</si>
  <si>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</si>
  <si>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</si>
  <si>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</si>
  <si>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</si>
  <si>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</si>
  <si>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</si>
  <si>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</si>
  <si>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</si>
  <si>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</si>
  <si>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</si>
  <si>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</si>
  <si>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</si>
  <si>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</si>
  <si>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</si>
  <si>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</si>
  <si>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</si>
  <si>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</si>
  <si>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</si>
  <si>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</si>
  <si>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</si>
  <si>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</si>
  <si>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</si>
  <si>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</si>
  <si>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</si>
  <si>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</si>
  <si>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</si>
  <si>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</si>
  <si>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</si>
  <si>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</si>
  <si>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</si>
  <si>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</si>
  <si>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</si>
  <si>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</si>
  <si>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</si>
  <si>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</si>
  <si>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</si>
  <si>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</si>
  <si>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</si>
  <si>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</si>
  <si>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</si>
  <si>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</si>
  <si>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</si>
  <si>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</si>
  <si>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</si>
  <si>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</si>
  <si>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</si>
  <si>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</si>
  <si>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</si>
  <si>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</si>
  <si>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</si>
  <si>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</si>
  <si>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</si>
  <si>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</si>
  <si>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</si>
  <si>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</si>
  <si>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</si>
  <si>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</si>
  <si>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</si>
  <si>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</si>
  <si>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</si>
  <si>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</si>
  <si>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</si>
  <si>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</si>
  <si>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</si>
  <si>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</si>
  <si>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</si>
  <si>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</si>
  <si>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</si>
  <si>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</si>
  <si>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</si>
  <si>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</si>
  <si>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</si>
  <si>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</si>
  <si>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</si>
  <si>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</si>
  <si>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</si>
  <si>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</si>
  <si>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</si>
  <si>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</si>
  <si>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</si>
  <si>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</si>
  <si>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</si>
  <si>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</si>
  <si>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</si>
  <si>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</si>
  <si>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</si>
  <si>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</si>
  <si>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</si>
  <si>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</si>
  <si>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</si>
  <si>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</si>
  <si>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</si>
  <si>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</si>
  <si>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</si>
  <si>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</si>
  <si>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</si>
  <si>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</si>
  <si>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</si>
  <si>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</si>
  <si>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</si>
  <si>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</si>
  <si>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</si>
  <si>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</si>
  <si>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</si>
  <si>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</si>
  <si>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</si>
  <si>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</si>
  <si>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</si>
  <si>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</si>
  <si>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</si>
  <si>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</si>
  <si>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</si>
  <si>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</si>
  <si>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</si>
  <si>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</si>
  <si>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</si>
  <si>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</si>
  <si>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</si>
  <si>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</si>
  <si>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</si>
  <si>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</si>
  <si>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</si>
  <si>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</si>
  <si>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</si>
  <si>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</si>
  <si>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</si>
  <si>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</si>
  <si>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</si>
  <si>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</si>
  <si>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</si>
  <si>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</si>
  <si>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</si>
  <si>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</si>
  <si>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</si>
  <si>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</si>
  <si>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</si>
  <si>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</si>
  <si>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</si>
  <si>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</si>
  <si>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</si>
  <si>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</si>
  <si>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</si>
  <si>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</si>
  <si>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</si>
  <si>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</si>
  <si>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</si>
  <si>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</si>
  <si>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</si>
  <si>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</si>
  <si>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</si>
  <si>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</si>
  <si>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</si>
  <si>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</si>
  <si>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</si>
  <si>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</si>
  <si>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</si>
  <si>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</si>
  <si>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</si>
  <si>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</si>
  <si>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</si>
  <si>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</si>
  <si>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</si>
  <si>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</si>
  <si>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</si>
  <si>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</si>
  <si>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</si>
  <si>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</si>
  <si>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</si>
  <si>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</si>
  <si>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</si>
  <si>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</si>
  <si>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</si>
  <si>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</si>
  <si>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</si>
  <si>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</si>
  <si>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</si>
  <si>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</si>
  <si>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</si>
  <si>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</si>
  <si>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</si>
  <si>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</si>
  <si>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</si>
  <si>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</si>
  <si>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</si>
  <si>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</si>
  <si>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</si>
  <si>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</si>
  <si>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</si>
  <si>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</si>
  <si>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</si>
  <si>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</si>
  <si>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</si>
  <si>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</si>
  <si>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</si>
  <si>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</si>
  <si>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</si>
  <si>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</si>
  <si>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</si>
  <si>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</si>
  <si>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</si>
  <si>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</si>
  <si>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</si>
  <si>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</si>
  <si>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</si>
  <si>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</si>
  <si>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</si>
  <si>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</si>
  <si>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</si>
  <si>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</si>
  <si>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</si>
  <si>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</si>
  <si>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</si>
  <si>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</si>
  <si>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</si>
  <si>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</si>
  <si>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</si>
  <si>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</si>
  <si>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</si>
  <si>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</si>
  <si>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</si>
  <si>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</si>
  <si>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</si>
  <si>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</si>
  <si>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</si>
  <si>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</si>
  <si>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</si>
  <si>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</si>
  <si>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</si>
  <si>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</si>
  <si>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</si>
  <si>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</si>
  <si>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</si>
  <si>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</si>
  <si>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</si>
  <si>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</si>
  <si>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</si>
  <si>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</si>
  <si>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</si>
  <si>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</si>
  <si>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</si>
  <si>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</si>
  <si>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</si>
  <si>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</si>
  <si>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</si>
  <si>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</si>
  <si>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</si>
  <si>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</si>
  <si>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</si>
  <si>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</si>
  <si>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</si>
  <si>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</si>
  <si>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</si>
  <si>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</si>
  <si>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</si>
  <si>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</si>
  <si>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</si>
  <si>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</si>
  <si>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</si>
  <si>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</si>
  <si>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</si>
  <si>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</si>
  <si>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</si>
  <si>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</si>
  <si>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</si>
  <si>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</si>
  <si>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</si>
  <si>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</si>
  <si>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</si>
  <si>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</si>
  <si>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</si>
  <si>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</si>
  <si>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</si>
  <si>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</si>
  <si>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</si>
  <si>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</si>
  <si>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</si>
  <si>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</si>
  <si>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</si>
  <si>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</si>
  <si>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</si>
  <si>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</si>
  <si>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</si>
  <si>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</si>
  <si>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</si>
  <si>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</si>
  <si>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</si>
  <si>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</si>
  <si>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</si>
  <si>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</si>
  <si>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</si>
  <si>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</si>
  <si>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</si>
  <si>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</si>
  <si>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</si>
  <si>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</si>
  <si>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</si>
  <si>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</si>
  <si>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</si>
  <si>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</si>
  <si>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</si>
  <si>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</si>
  <si>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</si>
  <si>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</si>
  <si>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</si>
  <si>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</si>
  <si>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</si>
  <si>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</si>
  <si>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</si>
  <si>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</si>
  <si>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</si>
  <si>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</si>
  <si>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</si>
  <si>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</si>
  <si>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</si>
  <si>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</si>
  <si>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</si>
  <si>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</si>
  <si>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</si>
  <si>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</si>
  <si>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</si>
  <si>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</si>
  <si>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</si>
  <si>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</si>
  <si>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</si>
  <si>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</si>
  <si>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</si>
  <si>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</si>
  <si>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</si>
  <si>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</si>
  <si>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</si>
  <si>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</si>
  <si>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</si>
  <si>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</si>
  <si>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</si>
  <si>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</si>
  <si>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</si>
  <si>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</si>
  <si>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</si>
  <si>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</si>
  <si>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</si>
  <si>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</si>
  <si>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</si>
  <si>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</si>
  <si>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</si>
  <si>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</si>
  <si>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</si>
  <si>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</si>
  <si>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</si>
  <si>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</si>
  <si>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</si>
  <si>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</si>
  <si>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</si>
  <si>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</si>
  <si>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</si>
  <si>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</si>
  <si>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</si>
  <si>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</si>
  <si>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</si>
  <si>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</si>
  <si>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</si>
  <si>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</si>
  <si>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</si>
  <si>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</si>
  <si>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</si>
  <si>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</si>
  <si>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</si>
  <si>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</si>
  <si>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</si>
  <si>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</si>
  <si>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</si>
  <si>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</si>
  <si>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</si>
  <si>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</si>
  <si>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</si>
  <si>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</si>
  <si>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</si>
  <si>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</si>
  <si>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</si>
  <si>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</si>
  <si>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</si>
  <si>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</si>
  <si>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</si>
  <si>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</si>
  <si>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</si>
  <si>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</si>
  <si>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</si>
  <si>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</si>
  <si>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</si>
  <si>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</si>
  <si>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</si>
  <si>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</si>
  <si>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</si>
  <si>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</si>
  <si>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</si>
  <si>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</si>
  <si>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</si>
  <si>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</si>
  <si>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</si>
  <si>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</si>
  <si>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</si>
  <si>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</si>
  <si>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</si>
  <si>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</si>
  <si>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</si>
  <si>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</si>
  <si>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</si>
  <si>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</si>
  <si>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</si>
  <si>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</si>
  <si>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</si>
  <si>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</si>
  <si>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</si>
  <si>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</si>
  <si>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</si>
  <si>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</si>
  <si>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</si>
  <si>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</si>
  <si>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</si>
  <si>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</si>
  <si>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</si>
  <si>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</si>
  <si>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</si>
  <si>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</si>
  <si>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</si>
  <si>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</si>
  <si>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</si>
  <si>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</si>
  <si>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</si>
  <si>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</si>
  <si>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</si>
  <si>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</si>
  <si>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</si>
  <si>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</si>
  <si>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</si>
  <si>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</si>
  <si>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</si>
  <si>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</si>
  <si>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</si>
  <si>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</si>
  <si>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</si>
  <si>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</si>
  <si>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</si>
  <si>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</si>
  <si>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</si>
  <si>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</si>
  <si>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</si>
  <si>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</si>
  <si>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</si>
  <si>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</si>
  <si>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</si>
  <si>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</si>
  <si>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</si>
  <si>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</si>
  <si>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</si>
  <si>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</si>
  <si>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</si>
  <si>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</si>
  <si>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</si>
  <si>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</si>
  <si>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</si>
  <si>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</si>
  <si>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</si>
  <si>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</si>
  <si>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</si>
  <si>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</si>
  <si>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</si>
  <si>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</si>
  <si>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</si>
  <si>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</si>
  <si>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</si>
  <si>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</si>
  <si>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</si>
  <si>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</si>
  <si>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</si>
  <si>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</si>
  <si>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</si>
  <si>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</si>
  <si>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</si>
  <si>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</si>
  <si>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</si>
  <si>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</si>
  <si>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</si>
  <si>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</si>
  <si>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</si>
  <si>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</si>
  <si>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</si>
  <si>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</si>
  <si>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</si>
  <si>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</si>
  <si>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</si>
  <si>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</si>
  <si>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</si>
  <si>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</si>
  <si>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</si>
  <si>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</si>
  <si>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</si>
  <si>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</si>
  <si>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</si>
  <si>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</si>
  <si>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</si>
  <si>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</si>
  <si>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</si>
  <si>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</si>
  <si>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</si>
  <si>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</si>
  <si>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</si>
  <si>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</si>
  <si>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</si>
  <si>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</si>
  <si>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</si>
  <si>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</si>
  <si>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</si>
  <si>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</si>
  <si>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</si>
  <si>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</si>
  <si>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</si>
  <si>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</si>
  <si>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</si>
  <si>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</si>
  <si>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</si>
  <si>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</si>
  <si>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</si>
  <si>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</si>
  <si>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</si>
  <si>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</si>
  <si>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</si>
  <si>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</si>
  <si>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</si>
  <si>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</si>
  <si>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</si>
  <si>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</si>
  <si>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</si>
  <si>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</si>
  <si>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</si>
  <si>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</si>
  <si>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</si>
  <si>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</si>
  <si>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</si>
  <si>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</si>
  <si>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</si>
  <si>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</si>
  <si>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</si>
  <si>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</si>
  <si>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</si>
  <si>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</si>
  <si>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</si>
  <si>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</si>
  <si>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</si>
  <si>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</si>
  <si>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</si>
  <si>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</si>
  <si>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</si>
  <si>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</si>
  <si>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</si>
  <si>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</si>
  <si>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</si>
  <si>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</si>
  <si>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</si>
  <si>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</si>
  <si>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</si>
  <si>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</si>
  <si>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</si>
  <si>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</si>
  <si>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</si>
  <si>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</si>
  <si>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</si>
  <si>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</si>
  <si>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</si>
  <si>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</si>
  <si>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</si>
  <si>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</si>
  <si>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</si>
  <si>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</si>
  <si>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</si>
  <si>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</si>
  <si>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</si>
  <si>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</si>
  <si>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</si>
  <si>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</si>
  <si>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</si>
  <si>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</si>
  <si>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</si>
  <si>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</si>
  <si>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</si>
  <si>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</si>
  <si>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</si>
  <si>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</si>
  <si>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</si>
  <si>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</si>
  <si>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</si>
  <si>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</si>
  <si>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</si>
  <si>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</si>
  <si>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</si>
  <si>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</si>
  <si>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</si>
  <si>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</si>
  <si>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</si>
  <si>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</si>
  <si>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</si>
  <si>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</si>
  <si>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</si>
  <si>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</si>
  <si>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</si>
  <si>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</si>
  <si>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</si>
  <si>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</si>
  <si>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</si>
  <si>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</si>
  <si>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</si>
  <si>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</si>
  <si>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</si>
  <si>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</si>
  <si>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</si>
  <si>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</si>
  <si>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</si>
  <si>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</si>
  <si>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</si>
  <si>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</si>
  <si>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</si>
  <si>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</si>
  <si>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</si>
  <si>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</si>
  <si>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</si>
  <si>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</si>
  <si>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</si>
  <si>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</si>
  <si>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</si>
  <si>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</si>
  <si>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</si>
  <si>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</si>
  <si>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</si>
  <si>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</si>
  <si>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</si>
  <si>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</si>
  <si>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</si>
  <si>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</si>
  <si>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</si>
  <si>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</si>
  <si>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</si>
  <si>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</si>
  <si>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</si>
  <si>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</si>
  <si>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</si>
  <si>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</si>
  <si>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</si>
  <si>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</si>
  <si>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</si>
  <si>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</si>
  <si>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</si>
  <si>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</si>
  <si>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</si>
  <si>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</si>
  <si>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</si>
  <si>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</si>
  <si>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</si>
  <si>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</si>
  <si>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</si>
  <si>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</si>
  <si>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</si>
  <si>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</si>
  <si>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</si>
  <si>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</si>
  <si>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</si>
  <si>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</si>
  <si>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</si>
  <si>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</si>
  <si>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</si>
  <si>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</si>
  <si>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</si>
  <si>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</si>
  <si>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</si>
  <si>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</si>
  <si>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</si>
  <si>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</si>
  <si>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</si>
  <si>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</si>
  <si>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</si>
  <si>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</si>
  <si>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</si>
  <si>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</si>
  <si>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</si>
  <si>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</si>
  <si>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</si>
  <si>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</si>
  <si>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</si>
  <si>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</si>
  <si>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</si>
  <si>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</si>
  <si>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</si>
  <si>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</si>
  <si>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</si>
  <si>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</si>
  <si>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</si>
  <si>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</si>
  <si>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</si>
  <si>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</si>
  <si>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</si>
  <si>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</si>
  <si>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</si>
  <si>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</si>
  <si>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</si>
  <si>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</si>
  <si>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</si>
  <si>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</si>
  <si>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</si>
  <si>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</si>
  <si>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</si>
  <si>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</si>
  <si>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</si>
  <si>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</si>
  <si>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</si>
  <si>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</si>
  <si>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</si>
  <si>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</si>
  <si>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</si>
  <si>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</si>
  <si>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</si>
  <si>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</si>
  <si>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</si>
  <si>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Pa Porra la mía</t>
  </si>
  <si>
    <t>1|3-1</t>
  </si>
  <si>
    <t>X|1-1</t>
  </si>
  <si>
    <t>2|0-2</t>
  </si>
  <si>
    <t>X|2-2</t>
  </si>
  <si>
    <t>1|1-0</t>
  </si>
  <si>
    <t>2|1-2</t>
  </si>
  <si>
    <t>1|4-1</t>
  </si>
  <si>
    <t>1|2-1</t>
  </si>
  <si>
    <t>1|2-0</t>
  </si>
  <si>
    <t>1|3-0</t>
  </si>
  <si>
    <t>2|1-3</t>
  </si>
  <si>
    <t>2|0-1</t>
  </si>
  <si>
    <t>1|5-0</t>
  </si>
  <si>
    <t>X|0-0</t>
  </si>
  <si>
    <t>2|0-3</t>
  </si>
  <si>
    <t>Corea del Sur-Canadá·X|1-1</t>
  </si>
  <si>
    <t>Brasil-Suecia·1|2-1</t>
  </si>
  <si>
    <t>Alemania-Escocia·1|3-1</t>
  </si>
  <si>
    <t>Japón-Marruecos·2|1-3</t>
  </si>
  <si>
    <t>Ecuador-Francia·2|1-2</t>
  </si>
  <si>
    <t>Noruega-Países Bajos·1|2-1</t>
  </si>
  <si>
    <t>México-Arabia Saudita·1|2-1</t>
  </si>
  <si>
    <t>Inglaterra-Uzbekistán·1|2-0</t>
  </si>
  <si>
    <t>Bélgica-República Checa·1|2-0</t>
  </si>
  <si>
    <t>Turquía-Bosnia y Herzegovina·1|2-0</t>
  </si>
  <si>
    <t>España-Austria·1|3-1</t>
  </si>
  <si>
    <t>Colombia-Croacia·X|1-1</t>
  </si>
  <si>
    <t>Suiza-Irán·1|2-1</t>
  </si>
  <si>
    <t>Estados Unidos-Egipto·X|2-2</t>
  </si>
  <si>
    <t>Argentina-Uruguay·1|2-1</t>
  </si>
  <si>
    <t>Portugal-Costa de Marfil·1|3-2</t>
  </si>
  <si>
    <t>Canadá-Marruecos·2|1-2</t>
  </si>
  <si>
    <t>Alemania-Noruega·X|1-1</t>
  </si>
  <si>
    <t>Brasil-Francia·X|2-2</t>
  </si>
  <si>
    <t>México-Inglaterra·2|1-2</t>
  </si>
  <si>
    <t>Croacia-España·2|1-3</t>
  </si>
  <si>
    <t>Turquía-Bélgica·X|1-1</t>
  </si>
  <si>
    <t>Argentina-Estados Unidos·1|3-0</t>
  </si>
  <si>
    <t>Suiza-Portugal·X|1-1</t>
  </si>
  <si>
    <t>Noruega-Marruecos·X|1-1</t>
  </si>
  <si>
    <t>España-Turquía·1|4-1</t>
  </si>
  <si>
    <t>Francia-Inglaterra·1|2-1</t>
  </si>
  <si>
    <t>Argentina-Portugal·X|2-2</t>
  </si>
  <si>
    <t>Noruega-España·2|2-3</t>
  </si>
  <si>
    <t>Francia-Portugal·2|1-2</t>
  </si>
  <si>
    <t>Noruega-Francia·1|2-1</t>
  </si>
  <si>
    <t>España-Portugal·1|2-1</t>
  </si>
  <si>
    <t>HAALAND</t>
  </si>
  <si>
    <t>OYARZABAL</t>
  </si>
  <si>
    <t>MBAPPE</t>
  </si>
  <si>
    <t>YAMAL</t>
  </si>
  <si>
    <t>VITINHA</t>
  </si>
  <si>
    <t>LASA</t>
  </si>
  <si>
    <t>2|2-3</t>
  </si>
  <si>
    <t>2|0-4</t>
  </si>
  <si>
    <t>1|4-2</t>
  </si>
  <si>
    <t>1|3-2</t>
  </si>
  <si>
    <t>2|2-4</t>
  </si>
  <si>
    <t>Brasil-Japón·1|2-1</t>
  </si>
  <si>
    <t>Ecuador-Paraguay·1|1-0</t>
  </si>
  <si>
    <t>Países Bajos-Marruecos·X|1-1</t>
  </si>
  <si>
    <t>Francia-Suecia·1|2-0</t>
  </si>
  <si>
    <t>México-Escocia·1|3-2</t>
  </si>
  <si>
    <t>Inglaterra-Costa de Marfil·1|2-1</t>
  </si>
  <si>
    <t>Bélgica-Argelia·1|3-1</t>
  </si>
  <si>
    <t>Estados Unidos-Bosnia y Herzegovina·1|2-0</t>
  </si>
  <si>
    <t>España-Austria·1|3-0</t>
  </si>
  <si>
    <t>Turquía-Egipto·1|2-1</t>
  </si>
  <si>
    <t>Argentina-Uruguay·1|2-0</t>
  </si>
  <si>
    <t>Portugal-Panamá·1|2-1</t>
  </si>
  <si>
    <t>Canadá-Países Bajos·2|1-3</t>
  </si>
  <si>
    <t>Ecuador-Francia·2|0-2</t>
  </si>
  <si>
    <t>Brasil-Alemania·2|2-3</t>
  </si>
  <si>
    <t>Croacia-España·X|1-1</t>
  </si>
  <si>
    <t>Estados Unidos-Bélgica·2|1-2</t>
  </si>
  <si>
    <t>Argentina-Turquía·1|2-1</t>
  </si>
  <si>
    <t>Suiza-Portugal·2|0-2</t>
  </si>
  <si>
    <t>Francia-Países Bajos·1|2-1</t>
  </si>
  <si>
    <t>España-Bélgica·1|3-1</t>
  </si>
  <si>
    <t>Alemania-Inglaterra·2|1-2</t>
  </si>
  <si>
    <t>Argentina-Portugal·2|2-3</t>
  </si>
  <si>
    <t>Francia-España·2|1-3</t>
  </si>
  <si>
    <t>Inglaterra-Portugal·2|0-1</t>
  </si>
  <si>
    <t>Francia-Inglaterra·1|4-2</t>
  </si>
  <si>
    <t>España-Portugal·1|1-0</t>
  </si>
  <si>
    <t>KANE</t>
  </si>
  <si>
    <t>JULIAN ALVAREZ</t>
  </si>
  <si>
    <t>BRUNO FERNANDES</t>
  </si>
  <si>
    <t>PEDRI</t>
  </si>
  <si>
    <t>GARZON</t>
  </si>
  <si>
    <t>ANGEL</t>
  </si>
  <si>
    <t>1|7-0</t>
  </si>
  <si>
    <t>1|5-1</t>
  </si>
  <si>
    <t>2|1-5</t>
  </si>
  <si>
    <t>1|6-2</t>
  </si>
  <si>
    <t>1|4-0</t>
  </si>
  <si>
    <t>1|6-0</t>
  </si>
  <si>
    <t>2|1-4</t>
  </si>
  <si>
    <t>República Checa-Canadá·1|2-0</t>
  </si>
  <si>
    <t>Costa de Marfil-Escocia·X|1-1</t>
  </si>
  <si>
    <t>Países Bajos-Marruecos·1|2-1</t>
  </si>
  <si>
    <t>Ecuador-Noruega·2|2-3</t>
  </si>
  <si>
    <t>Francia-Japón·1|2-0</t>
  </si>
  <si>
    <t>México-Alemania·2|2-3</t>
  </si>
  <si>
    <t>Inglaterra-RD Congo·1|3-1</t>
  </si>
  <si>
    <t>Bélgica-Corea del Sur·1|2-0</t>
  </si>
  <si>
    <t>Turquía-Bosnia y Herzegovina·X|1-1</t>
  </si>
  <si>
    <t>España-Austria·1|2-1</t>
  </si>
  <si>
    <t>Colombia-Croacia·1|2-1</t>
  </si>
  <si>
    <t>Suiza-Senegal·1|2-0</t>
  </si>
  <si>
    <t>Estados Unidos-Egipto·X|1-1</t>
  </si>
  <si>
    <t>Portugal-Ghana·1|3-1</t>
  </si>
  <si>
    <t>República Checa-Países Bajos·2|1-2</t>
  </si>
  <si>
    <t>Costa de Marfil-Francia·2|1-3</t>
  </si>
  <si>
    <t>Brasil-Noruega·X|1-1</t>
  </si>
  <si>
    <t>Alemania-Inglaterra·1|2-1</t>
  </si>
  <si>
    <t>Colombia-España·2|1-3</t>
  </si>
  <si>
    <t>Bosnia y Herzegovina-Bélgica·1|2-1</t>
  </si>
  <si>
    <t>Argentina-Estados Unidos·1|2-0</t>
  </si>
  <si>
    <t>Suiza-Portugal·2|1-3</t>
  </si>
  <si>
    <t>España-Bosnia y Herzegovina·1|3-1</t>
  </si>
  <si>
    <t>Noruega-Alemania·2|1-2</t>
  </si>
  <si>
    <t>Francia-España·1|2-1</t>
  </si>
  <si>
    <t>Alemania-Portugal·1|3-2</t>
  </si>
  <si>
    <t>España-Portugal·1|2-0</t>
  </si>
  <si>
    <t>Francia-Alemania·2|1-3</t>
  </si>
  <si>
    <t>VITAS</t>
  </si>
  <si>
    <t>México-Suiza·1|2-1</t>
  </si>
  <si>
    <t>Alemania-Turquía·1|2-1</t>
  </si>
  <si>
    <t>Ecuador-Senegal·2|1-2</t>
  </si>
  <si>
    <t>Francia-Suecia·1|1-0</t>
  </si>
  <si>
    <t>Corea del Sur-Arabia Saudita·1|1-0</t>
  </si>
  <si>
    <t>Inglaterra-Noruega·1|1-0</t>
  </si>
  <si>
    <t>Bélgica-Sudáfrica·1|1-0</t>
  </si>
  <si>
    <t>Estados Unidos-Bosnia y Herzegovina·1|1-0</t>
  </si>
  <si>
    <t>España-Argelia·1|1-0</t>
  </si>
  <si>
    <t>Canadá-Austria·1|2-1</t>
  </si>
  <si>
    <t>Australia-Egipto·1|1-0</t>
  </si>
  <si>
    <t>Portugal-Costa de Marfil·1|2-1</t>
  </si>
  <si>
    <t>México-Países Bajos·2|1-2</t>
  </si>
  <si>
    <t>Alemania-Francia·2|1-2</t>
  </si>
  <si>
    <t>Brasil-Senegal·2|1-2</t>
  </si>
  <si>
    <t>Corea del Sur-Inglaterra·2|1-2</t>
  </si>
  <si>
    <t>Colombia-España·2|1-2</t>
  </si>
  <si>
    <t>Argentina-Australia·1|2-1</t>
  </si>
  <si>
    <t>Canadá-Portugal·2|1-2</t>
  </si>
  <si>
    <t>España-Bélgica·1|2-1</t>
  </si>
  <si>
    <t>Senegal-Inglaterra·1|2-1</t>
  </si>
  <si>
    <t>Argentina-Portugal·2|1-2</t>
  </si>
  <si>
    <t>Senegal-Portugal·2|1-2</t>
  </si>
  <si>
    <t>España-Senegal·1|2-1</t>
  </si>
  <si>
    <t>MEMPHIS</t>
  </si>
  <si>
    <t>OLISE</t>
  </si>
  <si>
    <t>Corea del Sur-Canadá·2|1-2</t>
  </si>
  <si>
    <t>Brasil-Suecia·1|2-0</t>
  </si>
  <si>
    <t>Alemania-Japón·1|2-1</t>
  </si>
  <si>
    <t>Costa de Marfil-Noruega·2|1-2</t>
  </si>
  <si>
    <t>Francia-Egipto·1|2-0</t>
  </si>
  <si>
    <t>México-Uruguay·2|1-2</t>
  </si>
  <si>
    <t>Inglaterra-Senegal·1|2-0</t>
  </si>
  <si>
    <t>Bélgica-República Checa·1|2-1</t>
  </si>
  <si>
    <t>España-Argelia·1|2-0</t>
  </si>
  <si>
    <t>Colombia-Croacia·2|1-2</t>
  </si>
  <si>
    <t>Suiza-Austria·1|2-1</t>
  </si>
  <si>
    <t>Paraguay-Irán·1|2-1</t>
  </si>
  <si>
    <t>Argentina-Arabia Saudita·1|3-0</t>
  </si>
  <si>
    <t>Portugal-Ecuador·1|2-1</t>
  </si>
  <si>
    <t>Canadá-Países Bajos·2|1-2</t>
  </si>
  <si>
    <t>Brasil-Noruega·1|3-1</t>
  </si>
  <si>
    <t>Uruguay-Inglaterra·2|1-2</t>
  </si>
  <si>
    <t>Croacia-España·2|1-2</t>
  </si>
  <si>
    <t>Argentina-Paraguay·1|2-0</t>
  </si>
  <si>
    <t>Suiza-Portugal·2|1-2</t>
  </si>
  <si>
    <t>Brasil-Inglaterra·1|2-0</t>
  </si>
  <si>
    <t>Argentina-Portugal·1|1-0</t>
  </si>
  <si>
    <t>Francia-España·2|1-2</t>
  </si>
  <si>
    <t>Brasil-Argentina·1|1-0</t>
  </si>
  <si>
    <t>Francia-Argentina·1|2-0</t>
  </si>
  <si>
    <t>España-Brasil·1|2-1</t>
  </si>
  <si>
    <t>PIRI</t>
  </si>
  <si>
    <t>MESSI</t>
  </si>
  <si>
    <t>BELLO</t>
  </si>
  <si>
    <t>Sudáfrica-Bosnia y Herzegovina·1|2-1</t>
  </si>
  <si>
    <t>Brasil-Japón·1|4-2</t>
  </si>
  <si>
    <t>Alemania-Suecia·1|2-1</t>
  </si>
  <si>
    <t>Países Bajos-Marruecos·2|1-3</t>
  </si>
  <si>
    <t>Curazao-Senegal·2|0-1</t>
  </si>
  <si>
    <t>Francia-Irán·1|4-1</t>
  </si>
  <si>
    <t>México-Arabia Saudita·1|3-1</t>
  </si>
  <si>
    <t>Inglaterra-Uzbekistán·1|3-0</t>
  </si>
  <si>
    <t>Bélgica-Corea del Sur·1|4-2</t>
  </si>
  <si>
    <t>Estados Unidos-Catar·1|2-0</t>
  </si>
  <si>
    <t>España-Argelia·1|4-1</t>
  </si>
  <si>
    <t>RD Congo-Croacia·2|2-4</t>
  </si>
  <si>
    <t>Canadá-Austria·2|1-2</t>
  </si>
  <si>
    <t>Paraguay-Egipto·X|1-1</t>
  </si>
  <si>
    <t>Argentina-Cabo Verde·1|3-1</t>
  </si>
  <si>
    <t>Portugal-Costa de Marfil·1|4-2</t>
  </si>
  <si>
    <t>Sudáfrica-Marruecos·2|1-2</t>
  </si>
  <si>
    <t>Alemania-Francia·2|0-3</t>
  </si>
  <si>
    <t>Brasil-Senegal·1|3-1</t>
  </si>
  <si>
    <t>México-Inglaterra·1|1-0</t>
  </si>
  <si>
    <t>Estados Unidos-Bélgica·X|2-2</t>
  </si>
  <si>
    <t>Argentina-Paraguay·1|3-1</t>
  </si>
  <si>
    <t>Austria-Portugal·2|0-3</t>
  </si>
  <si>
    <t>Francia-Marruecos·1|3-1</t>
  </si>
  <si>
    <t>España-Bélgica·1|3-0</t>
  </si>
  <si>
    <t>Brasil-México·1|2-1</t>
  </si>
  <si>
    <t>Argentina-Portugal·2|1-3</t>
  </si>
  <si>
    <t>Brasil-Portugal·2|1-2</t>
  </si>
  <si>
    <t>Francia-Brasil·1|2-1</t>
  </si>
  <si>
    <t>España-Portugal·1|3-2</t>
  </si>
  <si>
    <t>VINICIUS</t>
  </si>
  <si>
    <t>X|3-3</t>
  </si>
  <si>
    <t>1|6-1</t>
  </si>
  <si>
    <t>República Checa-Canadá·X|2-2</t>
  </si>
  <si>
    <t>Alemania-Paraguay·1|3-1</t>
  </si>
  <si>
    <t>Países Bajos-Marruecos·2|1-2</t>
  </si>
  <si>
    <t>Ecuador-Noruega·2|0-2</t>
  </si>
  <si>
    <t>Francia-Suecia·1|3-1</t>
  </si>
  <si>
    <t>México-Escocia·1|2-0</t>
  </si>
  <si>
    <t>Inglaterra-Senegal·1|3-1</t>
  </si>
  <si>
    <t>Bélgica-Corea del Sur·1|1-0</t>
  </si>
  <si>
    <t>Suiza-Irán·X|1-1</t>
  </si>
  <si>
    <t>Estados Unidos-Egipto·2|1-2</t>
  </si>
  <si>
    <t>Argentina-Uruguay·X|2-2</t>
  </si>
  <si>
    <t>Portugal-Costa de Marfil·1|3-1</t>
  </si>
  <si>
    <t>Canadá-Marruecos·2|1-3</t>
  </si>
  <si>
    <t>Alemania-Francia·2|2-3</t>
  </si>
  <si>
    <t>Turquía-Bélgica·X|2-2</t>
  </si>
  <si>
    <t>Argentina-Egipto·1|2-0</t>
  </si>
  <si>
    <t>Irán-Portugal·2|0-3</t>
  </si>
  <si>
    <t>Francia-Marruecos·1|3-2</t>
  </si>
  <si>
    <t>Brasil-Inglaterra·1|2-1</t>
  </si>
  <si>
    <t>Brasil-Portugal·2|0-2</t>
  </si>
  <si>
    <t>Francia-Brasil·1|3-1</t>
  </si>
  <si>
    <t>OSCAR</t>
  </si>
  <si>
    <t>RONALDO</t>
  </si>
  <si>
    <t>HAVERTZ</t>
  </si>
  <si>
    <t>Sudáfrica-Suiza·2|1-2</t>
  </si>
  <si>
    <t>Brasil-Japón·1|3-1</t>
  </si>
  <si>
    <t>Alemania-Turquía·1|2-0</t>
  </si>
  <si>
    <t>México-Cabo Verde·1|2-1</t>
  </si>
  <si>
    <t>Inglaterra-Curazao·1|3-0</t>
  </si>
  <si>
    <t>Bélgica-Corea del Sur·1|2-1</t>
  </si>
  <si>
    <t>Australia-Catar·X|1-1</t>
  </si>
  <si>
    <t>Estados Unidos-Irán·1|2-0</t>
  </si>
  <si>
    <t>Argentina-Uruguay·X|1-1</t>
  </si>
  <si>
    <t>Portugal-Ghana·1|3-0</t>
  </si>
  <si>
    <t>Suiza-Países Bajos·2|1-2</t>
  </si>
  <si>
    <t>Brasil-Senegal·1|2-0</t>
  </si>
  <si>
    <t>México-Inglaterra·X|1-1</t>
  </si>
  <si>
    <t>Croacia-España·2|0-2</t>
  </si>
  <si>
    <t>Australia-Bélgica·2|0-1</t>
  </si>
  <si>
    <t>Argentina-Estados Unidos·X|2-2</t>
  </si>
  <si>
    <t>Austria-Portugal·2|1-2</t>
  </si>
  <si>
    <t>España-Bélgica·X|2-2</t>
  </si>
  <si>
    <t>Argentina-Portugal·1|2-1</t>
  </si>
  <si>
    <t>Francia-España·X|1-1</t>
  </si>
  <si>
    <t>Brasil-Argentina·2|1-2</t>
  </si>
  <si>
    <t>Francia-Brasil·X|1-1</t>
  </si>
  <si>
    <t>España-Argentina·X|1-1</t>
  </si>
  <si>
    <t>PACO</t>
  </si>
  <si>
    <t>DE BRUYNE</t>
  </si>
  <si>
    <t>República Checa-Bosnia y Herzegovina·X|1-1</t>
  </si>
  <si>
    <t>Países Bajos-Marruecos·X|2-2</t>
  </si>
  <si>
    <t>Francia-Paraguay·1|3-1</t>
  </si>
  <si>
    <t>México-Arabia Saudita·1|2-0</t>
  </si>
  <si>
    <t>Turquía-Canadá·1|3-1</t>
  </si>
  <si>
    <t>Colombia-Croacia·X|2-2</t>
  </si>
  <si>
    <t>Suiza-Austria·1|1-0</t>
  </si>
  <si>
    <t>Estados Unidos-Egipto·1|1-0</t>
  </si>
  <si>
    <t>Argentina-Uruguay·1|3-2</t>
  </si>
  <si>
    <t>República Checa-Países Bajos·2|0-2</t>
  </si>
  <si>
    <t>Brasil-Noruega·X|2-2</t>
  </si>
  <si>
    <t>México-Inglaterra·2|1-3</t>
  </si>
  <si>
    <t>Argentina-Estados Unidos·1|3-1</t>
  </si>
  <si>
    <t>Francia-Países Bajos·1|2-0</t>
  </si>
  <si>
    <t>España-Turquía·1|2-0</t>
  </si>
  <si>
    <t>Brasil-Inglaterra·2|1-2</t>
  </si>
  <si>
    <t>Inglaterra-Portugal·1|3-2</t>
  </si>
  <si>
    <t>Francia-Portugal·1|2-1</t>
  </si>
  <si>
    <t>España-Inglaterra·1|2-1</t>
  </si>
  <si>
    <t>ALFON</t>
  </si>
  <si>
    <t>México-Canadá·1|1-0</t>
  </si>
  <si>
    <t>Brasil-Japón·1|2-0</t>
  </si>
  <si>
    <t>Alemania-Escocia·1|2-0</t>
  </si>
  <si>
    <t>Países Bajos-Marruecos·1|1-0</t>
  </si>
  <si>
    <t>Ecuador-Noruega·2|0-1</t>
  </si>
  <si>
    <t>Inglaterra-Senegal·1|1-0</t>
  </si>
  <si>
    <t>Bélgica-República Checa·1|1-0</t>
  </si>
  <si>
    <t>Turquía-Catar·1|1-0</t>
  </si>
  <si>
    <t>Colombia-Croacia·2|0-1</t>
  </si>
  <si>
    <t>Suiza-Costa de Marfil·1|1-0</t>
  </si>
  <si>
    <t>Paraguay-Egipto·1|1-0</t>
  </si>
  <si>
    <t>Argentina-Uruguay·1|1-0</t>
  </si>
  <si>
    <t>México-Países Bajos·2|0-1</t>
  </si>
  <si>
    <t>Alemania-Francia·2|0-1</t>
  </si>
  <si>
    <t>Brasil-Noruega·1|1-0</t>
  </si>
  <si>
    <t>Corea del Sur-Inglaterra·1|1-0</t>
  </si>
  <si>
    <t>Turquía-Bélgica·1|1-0</t>
  </si>
  <si>
    <t>Argentina-Paraguay·1|1-0</t>
  </si>
  <si>
    <t>Francia-Países Bajos·1|1-0</t>
  </si>
  <si>
    <t>Brasil-Corea del Sur·1|1-0</t>
  </si>
  <si>
    <t>Argentina-Portugal·2|0-1</t>
  </si>
  <si>
    <t>Francia-España·2|0-1</t>
  </si>
  <si>
    <t>Brasil-Portugal·2|0-1</t>
  </si>
  <si>
    <t>Francia-Brasil·1|1-0</t>
  </si>
  <si>
    <t>MAICKY</t>
  </si>
  <si>
    <t>ENDRICK</t>
  </si>
  <si>
    <t>BONERA</t>
  </si>
  <si>
    <t>República Checa-Suiza·X|0-0</t>
  </si>
  <si>
    <t>Marruecos-Países Bajos·1|2-0</t>
  </si>
  <si>
    <t>Alemania-Paraguay·1|2-0</t>
  </si>
  <si>
    <t>Suecia-Brasil·2|1-2</t>
  </si>
  <si>
    <t>Costa de Marfil-Senegal·X|1-1</t>
  </si>
  <si>
    <t>México-Escocia·2|0-1</t>
  </si>
  <si>
    <t>Ghana-Noruega·2|0-1</t>
  </si>
  <si>
    <t>Turquía-Bosnia y Herzegovina·1|1-0</t>
  </si>
  <si>
    <t>Canadá-Nueva Zelanda·1|1-0</t>
  </si>
  <si>
    <t>Estados Unidos-Egipto·2|0-1</t>
  </si>
  <si>
    <t>Portugal-Inglaterra·1|2-1</t>
  </si>
  <si>
    <t>Suiza-Brasil·2|0-2</t>
  </si>
  <si>
    <t>Alemania-Francia·X|1-1</t>
  </si>
  <si>
    <t>Marruecos-Senegal·1|2-0</t>
  </si>
  <si>
    <t>Escocia-Noruega·2|0-1</t>
  </si>
  <si>
    <t>Turquía-Bélgica·2|0-1</t>
  </si>
  <si>
    <t>Canadá-Portugal·2|0-1</t>
  </si>
  <si>
    <t>Alemania-Brasil·1|1-0</t>
  </si>
  <si>
    <t>España-Bélgica·1|1-0</t>
  </si>
  <si>
    <t>Marruecos-Noruega·1|2-1</t>
  </si>
  <si>
    <t>Alemania-España·X|2-2</t>
  </si>
  <si>
    <t>Marruecos-Argentina·2|0-3</t>
  </si>
  <si>
    <t>Alemania-Marruecos·1|3-0</t>
  </si>
  <si>
    <t>España-Argentina·1|1-0</t>
  </si>
  <si>
    <t>RODRI</t>
  </si>
  <si>
    <t>Corea del Sur-Suiza·2|1-2</t>
  </si>
  <si>
    <t>Marruecos-Suecia·1|2-1</t>
  </si>
  <si>
    <t>Alemania-Escocia·1|3-0</t>
  </si>
  <si>
    <t>Países Bajos-Brasil·X|2-2</t>
  </si>
  <si>
    <t>Costa de Marfil-Noruega·X|1-1</t>
  </si>
  <si>
    <t>Francia-Arabia Saudita·1|3-0</t>
  </si>
  <si>
    <t>México-Ecuador·1|2-1</t>
  </si>
  <si>
    <t>Inglaterra-RD Congo·1|2-0</t>
  </si>
  <si>
    <t>Turquía-Senegal·1|2-1</t>
  </si>
  <si>
    <t>España-Argentina·1|2-1</t>
  </si>
  <si>
    <t>Canadá-Argelia·1|2-1</t>
  </si>
  <si>
    <t>Austria-Uruguay·2|1-2</t>
  </si>
  <si>
    <t>Suiza-Brasil·2|1-2</t>
  </si>
  <si>
    <t>Turquía-Bélgica·1|2-1</t>
  </si>
  <si>
    <t>Uruguay-Egipto·1|2-1</t>
  </si>
  <si>
    <t>Canadá-Portugal·2|0-2</t>
  </si>
  <si>
    <t>España-Turquía·1|2-1</t>
  </si>
  <si>
    <t>Marruecos-Inglaterra·2|1-2</t>
  </si>
  <si>
    <t>Uruguay-Portugal·2|1-2</t>
  </si>
  <si>
    <t>Inglaterra-Portugal·2|1-2</t>
  </si>
  <si>
    <t>CHEN</t>
  </si>
  <si>
    <t>OBLI</t>
  </si>
  <si>
    <t>ARTURO</t>
  </si>
  <si>
    <t>RONIE</t>
  </si>
  <si>
    <t>GAGO</t>
  </si>
  <si>
    <t>CASAS</t>
  </si>
  <si>
    <t>PANDO</t>
  </si>
  <si>
    <t>CHISCO</t>
  </si>
  <si>
    <t>Corea del Sur-Canadá·1|2-1</t>
  </si>
  <si>
    <t>Ecuador-Noruega·2|1-2</t>
  </si>
  <si>
    <t>Francia-Paraguay·1|3-0</t>
  </si>
  <si>
    <t>México-Costa de Marfil·1|2-1</t>
  </si>
  <si>
    <t>Inglaterra-Argelia·1|2-0</t>
  </si>
  <si>
    <t>España-Austria·1|2-0</t>
  </si>
  <si>
    <t>Suiza-Irán·1|1-0</t>
  </si>
  <si>
    <t>Portugal-Senegal·1|2-1</t>
  </si>
  <si>
    <t>Corea del Sur-Países Bajos·2|1-3</t>
  </si>
  <si>
    <t>Brasil-Noruega·1|2-1</t>
  </si>
  <si>
    <t>México-Inglaterra·2|0-2</t>
  </si>
  <si>
    <t>Argentina-Turquía·1|2-0</t>
  </si>
  <si>
    <t>España-Bélgica·1|2-0</t>
  </si>
  <si>
    <t>Brasil-Inglaterra·X|1-1</t>
  </si>
  <si>
    <t>Inglaterra-Argentina·2|1-2</t>
  </si>
  <si>
    <t>Corea del Sur-Bosnia y Herzegovina·1|1-0</t>
  </si>
  <si>
    <t>Brasil-Países Bajos·1|1-0</t>
  </si>
  <si>
    <t>Alemania-Escocia·1|1-0</t>
  </si>
  <si>
    <t>Japón-Marruecos·2|0-1</t>
  </si>
  <si>
    <t>Ecuador-Francia·X|1-1</t>
  </si>
  <si>
    <t>Senegal-Paraguay·1|1-0</t>
  </si>
  <si>
    <t>México-Costa de Marfil·1|1-0</t>
  </si>
  <si>
    <t>Inglaterra-Colombia·1|1-0</t>
  </si>
  <si>
    <t>Turquía-Austria·1|1-0</t>
  </si>
  <si>
    <t>RD Congo-Ghana·2|0-1</t>
  </si>
  <si>
    <t>Portugal-Croacia·1|1-0</t>
  </si>
  <si>
    <t>Corea del Sur-Marruecos·2|0-1</t>
  </si>
  <si>
    <t>Alemania-Senegal·1|1-0</t>
  </si>
  <si>
    <t>Brasil-Ecuador·2|0-1</t>
  </si>
  <si>
    <t>México-Inglaterra·2|0-1</t>
  </si>
  <si>
    <t>Ghana-España·2|0-1</t>
  </si>
  <si>
    <t>Argentina-Estados Unidos·1|1-0</t>
  </si>
  <si>
    <t>Suiza-Portugal·2|0-1</t>
  </si>
  <si>
    <t>Alemania-Marruecos·1|1-0</t>
  </si>
  <si>
    <t>España-Turquía·1|1-0</t>
  </si>
  <si>
    <t>Ecuador-Inglaterra·2|0-1</t>
  </si>
  <si>
    <t>Alemania-España·1|1-0</t>
  </si>
  <si>
    <t>Inglaterra-Portugal·1|1-0</t>
  </si>
  <si>
    <t>Alemania-Inglaterra·1|1-0</t>
  </si>
  <si>
    <t>WIRTZ</t>
  </si>
  <si>
    <t>FABIAN</t>
  </si>
  <si>
    <t>1|7-1</t>
  </si>
  <si>
    <t>Alemania-Australia·1|3-0</t>
  </si>
  <si>
    <t>Curazao-Senegal·2|0-2</t>
  </si>
  <si>
    <t>México-Costa de Marfil·X|1-1</t>
  </si>
  <si>
    <t>Estados Unidos-Austria·X|2-2</t>
  </si>
  <si>
    <t>España-Argelia·1|3-0</t>
  </si>
  <si>
    <t>RD Congo-Croacia·2|1-2</t>
  </si>
  <si>
    <t>Canadá-Irán·2|1-2</t>
  </si>
  <si>
    <t>Argentina-Cabo Verde·1|2-0</t>
  </si>
  <si>
    <t>Portugal-Ghana·1|2-0</t>
  </si>
  <si>
    <t>Sudáfrica-Países Bajos·2|1-3</t>
  </si>
  <si>
    <t>Alemania-Francia·X|2-2</t>
  </si>
  <si>
    <t>Irán-Portugal·2|0-2</t>
  </si>
  <si>
    <t>Alemania-Países Bajos·1|2-1</t>
  </si>
  <si>
    <t>Senegal-Inglaterra·2|1-2</t>
  </si>
  <si>
    <t>Alemania-España·2|1-2</t>
  </si>
  <si>
    <t>Inglaterra-Argentina·2|0-2</t>
  </si>
  <si>
    <t>Alemania-Inglaterra·1|3-1</t>
  </si>
  <si>
    <t>España-Argentina·1|2-0</t>
  </si>
  <si>
    <t>2|0-5</t>
  </si>
  <si>
    <t>Corea del Sur-Canadá·1|2-0</t>
  </si>
  <si>
    <t>Costa de Marfil-Noruega·2|0-1</t>
  </si>
  <si>
    <t>Francia-Paraguay·1|1-0</t>
  </si>
  <si>
    <t>México-Ecuador·2|0-1</t>
  </si>
  <si>
    <t>Bélgica-Arabia Saudita·1|1-0</t>
  </si>
  <si>
    <t>Estados Unidos-Argelia·X|1-1</t>
  </si>
  <si>
    <t>Colombia-Ghana·X|1-1</t>
  </si>
  <si>
    <t>Turquía-Egipto·1|1-0</t>
  </si>
  <si>
    <t>Corea del Sur-Países Bajos·2|1-2</t>
  </si>
  <si>
    <t>Ecuador-Inglaterra·2|0-2</t>
  </si>
  <si>
    <t>Estados Unidos-Bélgica·X|1-1</t>
  </si>
  <si>
    <t>Argentina-Turquía·1|1-0</t>
  </si>
  <si>
    <t>Francia-España·1|1-0</t>
  </si>
  <si>
    <t>Brasil-Portugal·1|1-0</t>
  </si>
  <si>
    <t>Francia-Brasil·2|0-2</t>
  </si>
  <si>
    <t>República Checa-Suiza·2|1-2</t>
  </si>
  <si>
    <t>Brasil-Suecia·1|3-1</t>
  </si>
  <si>
    <t>Alemania-Turquía·1|3-0</t>
  </si>
  <si>
    <t>Ecuador-Senegal·X|1-1</t>
  </si>
  <si>
    <t>México-Escocia·1|2-1</t>
  </si>
  <si>
    <t>Inglaterra-Noruega·1|2-1</t>
  </si>
  <si>
    <t>Estados Unidos-Bosnia y Herzegovina·1|2-1</t>
  </si>
  <si>
    <t>Canadá-Costa de Marfil·X|1-1</t>
  </si>
  <si>
    <t>Paraguay-Irán·1|1-0</t>
  </si>
  <si>
    <t>Francia-Brasil·2|1-2</t>
  </si>
  <si>
    <t>Bélgica-Argelia·1|2-0</t>
  </si>
  <si>
    <t>Canadá-Irán·X|1-1</t>
  </si>
  <si>
    <t>Portugal-Costa de Marfil·1|2-0</t>
  </si>
  <si>
    <t>Suiza-Marruecos·2|1-2</t>
  </si>
  <si>
    <t>Argentina-Turquía·1|3-1</t>
  </si>
  <si>
    <t>Francia-Marruecos·1|2-0</t>
  </si>
  <si>
    <t>Brasil-Argentina·1|2-1</t>
  </si>
  <si>
    <t>Francia-Argentina·X|1-1</t>
  </si>
  <si>
    <t>República Checa-Canadá·X|0-0</t>
  </si>
  <si>
    <t>Brasil-Países Bajos·1|2-1</t>
  </si>
  <si>
    <t>Alemania-Estados Unidos·1|3-1</t>
  </si>
  <si>
    <t>Japón-Escocia·1|2-0</t>
  </si>
  <si>
    <t>Ecuador-Francia·2|1-4</t>
  </si>
  <si>
    <t>Noruega-Suecia·1|3-0</t>
  </si>
  <si>
    <t>México-Marruecos·1|1-0</t>
  </si>
  <si>
    <t>Bélgica-Senegal·1|2-0</t>
  </si>
  <si>
    <t>Suiza-Argelia·1|1-0</t>
  </si>
  <si>
    <t>Australia-Egipto·X|2-2</t>
  </si>
  <si>
    <t>Canadá-Japón·2|1-3</t>
  </si>
  <si>
    <t>Alemania-Noruega·1|1-0</t>
  </si>
  <si>
    <t>Brasil-Francia·2|0-3</t>
  </si>
  <si>
    <t>México-Inglaterra·X|0-0</t>
  </si>
  <si>
    <t>Croacia-España·2|0-1</t>
  </si>
  <si>
    <t>Argentina-Australia·1|3-0</t>
  </si>
  <si>
    <t>Alemania-Japón·X|1-1</t>
  </si>
  <si>
    <t>Francia-Inglaterra·1|3-0</t>
  </si>
  <si>
    <t>Japón-España·2|0-1</t>
  </si>
  <si>
    <t>Japón-Francia·2|0-2</t>
  </si>
  <si>
    <t>España-Portugal·1|3-1</t>
  </si>
  <si>
    <t>RAPHINA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</si>
</sst>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09BC83C1-B2B8-4795-9E65-C74CDF91CD1B}"/>
    <cellStyle name="Normal 4" xfId="93" xr:uid="{6104D907-AD2C-5845-90F7-E59DF85A9F45}"/>
    <cellStyle name="Normal 4 2" xfId="95" xr:uid="{266E0619-40AF-444D-B7AB-2D81FB645B4D}"/>
    <cellStyle name="Normal 4 3" xfId="99" xr:uid="{94032D94-DACF-45D0-B1CB-CE511DA14736}"/>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22/10/relationships/richValueRel" Target="richData/richValueRel.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6"/>
                <c:pt idx="0">
                  <c:v>1|2-0</c:v>
                </c:pt>
                <c:pt idx="1">
                  <c:v>1|2-1</c:v>
                </c:pt>
                <c:pt idx="2">
                  <c:v>1|3-1</c:v>
                </c:pt>
                <c:pt idx="3">
                  <c:v>1|1-0</c:v>
                </c:pt>
                <c:pt idx="4">
                  <c:v>2|1-2</c:v>
                </c:pt>
                <c:pt idx="5">
                  <c:v>X|1-1</c:v>
                </c:pt>
              </c:strCache>
            </c:strRef>
          </c:cat>
          <c:val>
            <c:numRef>
              <c:f>Stats!$I$8:$I$31</c:f>
              <c:numCache>
                <c:formatCode>General</c:formatCode>
                <c:ptCount val="24"/>
                <c:pt idx="0">
                  <c:v>6</c:v>
                </c:pt>
                <c:pt idx="1">
                  <c:v>6</c:v>
                </c:pt>
                <c:pt idx="2">
                  <c:v>3</c:v>
                </c:pt>
                <c:pt idx="3">
                  <c:v>2</c:v>
                </c:pt>
                <c:pt idx="4">
                  <c:v>1</c:v>
                </c:pt>
                <c:pt idx="5">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6"/>
                <c:pt idx="0">
                  <c:v>1|2-0</c:v>
                </c:pt>
                <c:pt idx="1">
                  <c:v>1|2-1</c:v>
                </c:pt>
                <c:pt idx="2">
                  <c:v>1|3-1</c:v>
                </c:pt>
                <c:pt idx="3">
                  <c:v>1|1-0</c:v>
                </c:pt>
                <c:pt idx="4">
                  <c:v>2|1-2</c:v>
                </c:pt>
                <c:pt idx="5">
                  <c:v>X|1-1</c:v>
                </c:pt>
              </c:strCache>
            </c:strRef>
          </c:cat>
          <c:val>
            <c:numRef>
              <c:f>Stats!$J$8:$J$31</c:f>
              <c:numCache>
                <c:formatCode>General</c:formatCode>
                <c:ptCount val="24"/>
                <c:pt idx="0">
                  <c:v>0</c:v>
                </c:pt>
                <c:pt idx="1">
                  <c:v>0</c:v>
                </c:pt>
                <c:pt idx="2">
                  <c:v>0</c:v>
                </c:pt>
                <c:pt idx="3">
                  <c:v>0</c:v>
                </c:pt>
                <c:pt idx="4">
                  <c:v>0</c:v>
                </c:pt>
                <c:pt idx="5">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6"/>
                <c:pt idx="0">
                  <c:v>1|2-0</c:v>
                </c:pt>
                <c:pt idx="1">
                  <c:v>1|2-1</c:v>
                </c:pt>
                <c:pt idx="2">
                  <c:v>1|3-1</c:v>
                </c:pt>
                <c:pt idx="3">
                  <c:v>1|1-0</c:v>
                </c:pt>
                <c:pt idx="4">
                  <c:v>2|1-2</c:v>
                </c:pt>
                <c:pt idx="5">
                  <c:v>X|1-1</c:v>
                </c:pt>
              </c:strCache>
            </c:strRef>
          </c:cat>
          <c:val>
            <c:numRef>
              <c:f>Stats!$K$8:$K$31</c:f>
              <c:numCache>
                <c:formatCode>General</c:formatCode>
                <c:ptCount val="24"/>
                <c:pt idx="0">
                  <c:v>0</c:v>
                </c:pt>
                <c:pt idx="1">
                  <c:v>0</c:v>
                </c:pt>
                <c:pt idx="2">
                  <c:v>0</c:v>
                </c:pt>
                <c:pt idx="3">
                  <c:v>0</c:v>
                </c:pt>
                <c:pt idx="4">
                  <c:v>0</c:v>
                </c:pt>
                <c:pt idx="5">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0.89473684210526316</c:v>
                </c:pt>
                <c:pt idx="1">
                  <c:v>5.2631578947368418E-2</c:v>
                </c:pt>
                <c:pt idx="2">
                  <c:v>5.2631578947368418E-2</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4"/>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10.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5</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topLeftCell="A4" zoomScaleNormal="100" workbookViewId="0">
      <selection activeCell="K8" sqref="K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9" t="str">
        <f>Idiomas!D8</f>
        <v>XXIII Mundial USA/MEX/CAN 2026</v>
      </c>
      <c r="C3" s="799"/>
      <c r="D3" s="799"/>
      <c r="E3" s="799"/>
      <c r="F3" s="799"/>
      <c r="G3" s="799"/>
      <c r="H3" s="799"/>
      <c r="I3" s="799"/>
      <c r="J3" s="799"/>
      <c r="K3" s="799"/>
      <c r="L3" s="799"/>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7"/>
      <c r="F16" s="798"/>
      <c r="G16" s="798"/>
      <c r="H16" s="798"/>
      <c r="I16" s="798"/>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6"/>
      <c r="F17" s="796"/>
      <c r="G17" s="796"/>
      <c r="H17" s="796"/>
      <c r="I17" s="796"/>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Faltan 1 días para que empiece 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 xml:space="preserve">  </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00"/>
      <c r="C24" s="801"/>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46183</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4" sqref="AC4:AD4"/>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4" t="str">
        <f>Idiomas!D8</f>
        <v>XXIII Mundial USA/MEX/CAN 2026</v>
      </c>
      <c r="X1" s="834"/>
      <c r="Y1" s="834"/>
      <c r="Z1" s="834"/>
      <c r="AA1" s="834"/>
      <c r="AB1" s="834"/>
      <c r="AC1" s="834"/>
      <c r="AD1" s="834"/>
      <c r="AE1" s="834"/>
      <c r="AF1" s="834"/>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30" t="s">
        <v>0</v>
      </c>
      <c r="X4" s="189">
        <f ca="1">Horarios!C4</f>
        <v>46184.875</v>
      </c>
      <c r="Y4" s="190">
        <f ca="1">Horarios!C4</f>
        <v>46184.875</v>
      </c>
      <c r="Z4" s="191" t="str">
        <f>Idiomas!D63</f>
        <v>J1</v>
      </c>
      <c r="AA4" s="192" t="str">
        <f ca="1">+A5</f>
        <v>México</v>
      </c>
      <c r="AB4" s="480" t="str" cm="1">
        <f t="array" aca="1" ref="AB4" ca="1">Ver_flag_local</f>
        <v/>
      </c>
      <c r="AC4" s="193"/>
      <c r="AD4" s="194"/>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30"/>
      <c r="X5" s="189">
        <f ca="1">Horarios!C5</f>
        <v>46185.166666666664</v>
      </c>
      <c r="Y5" s="190">
        <f ca="1">Horarios!C5</f>
        <v>46185.166666666664</v>
      </c>
      <c r="Z5" s="191" t="str">
        <f>$Z$4</f>
        <v>J1</v>
      </c>
      <c r="AA5" s="192" t="str">
        <f ca="1">A7</f>
        <v>Corea del Sur</v>
      </c>
      <c r="AB5" s="480" t="str" cm="1">
        <f t="array" aca="1" ref="AB5" ca="1">Ver_flag_local</f>
        <v/>
      </c>
      <c r="AC5" s="193"/>
      <c r="AD5" s="194"/>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30"/>
      <c r="X6" s="189">
        <f ca="1">Horarios!C6</f>
        <v>46191.75</v>
      </c>
      <c r="Y6" s="190">
        <f ca="1">Horarios!C6</f>
        <v>46191.75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30"/>
      <c r="X7" s="189">
        <f ca="1">Horarios!C7</f>
        <v>46192.125</v>
      </c>
      <c r="Y7" s="190">
        <f ca="1">Horarios!C7</f>
        <v>46192.125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30"/>
      <c r="X8" s="189">
        <f ca="1">Horarios!C8</f>
        <v>46198.125</v>
      </c>
      <c r="Y8" s="190">
        <f ca="1">Horarios!C8</f>
        <v>46198.125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31"/>
      <c r="X9" s="228">
        <f ca="1">Horarios!C9</f>
        <v>46198.125</v>
      </c>
      <c r="Y9" s="229">
        <f ca="1">Horarios!C9</f>
        <v>46198.125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32" t="s">
        <v>1</v>
      </c>
      <c r="X12" s="189">
        <f ca="1">Horarios!C12</f>
        <v>46185.875</v>
      </c>
      <c r="Y12" s="190">
        <f ca="1">Horarios!C12</f>
        <v>46185.875</v>
      </c>
      <c r="Z12" s="191" t="str">
        <f>$Z$4</f>
        <v>J1</v>
      </c>
      <c r="AA12" s="192" t="str">
        <f ca="1">A13</f>
        <v>Canadá</v>
      </c>
      <c r="AB12" s="478" t="str" cm="1">
        <f t="array" aca="1" ref="AB12" ca="1">Ver_flag_local</f>
        <v/>
      </c>
      <c r="AC12" s="193"/>
      <c r="AD12" s="194"/>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32"/>
      <c r="X13" s="189">
        <f ca="1">Horarios!C13</f>
        <v>46186.875</v>
      </c>
      <c r="Y13" s="190">
        <f ca="1">Horarios!C13</f>
        <v>46186.875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32"/>
      <c r="X14" s="189">
        <f ca="1">Horarios!C14</f>
        <v>46191.875</v>
      </c>
      <c r="Y14" s="190">
        <f ca="1">Horarios!C14</f>
        <v>46191.875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32"/>
      <c r="X15" s="189">
        <f ca="1">Horarios!C15</f>
        <v>46192</v>
      </c>
      <c r="Y15" s="190">
        <f ca="1">Horarios!C15</f>
        <v>46192</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32"/>
      <c r="X16" s="189">
        <f ca="1">Horarios!C16</f>
        <v>46197.875</v>
      </c>
      <c r="Y16" s="190">
        <f ca="1">Horarios!C16</f>
        <v>46197.875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33"/>
      <c r="X17" s="228">
        <f ca="1">Horarios!C17</f>
        <v>46197.875</v>
      </c>
      <c r="Y17" s="229">
        <f ca="1">Horarios!C17</f>
        <v>46197.875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41" t="s">
        <v>2</v>
      </c>
      <c r="X20" s="189">
        <f ca="1">Horarios!C20</f>
        <v>46187</v>
      </c>
      <c r="Y20" s="190">
        <f ca="1">Horarios!C20</f>
        <v>46187</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41"/>
      <c r="X21" s="189">
        <f ca="1">Horarios!C21</f>
        <v>46187.125</v>
      </c>
      <c r="Y21" s="190">
        <f ca="1">Horarios!C21</f>
        <v>46187.125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41"/>
      <c r="X22" s="189">
        <f ca="1">Horarios!C22</f>
        <v>46193</v>
      </c>
      <c r="Y22" s="190">
        <f ca="1">Horarios!C22</f>
        <v>46193</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41"/>
      <c r="X23" s="189">
        <f ca="1">Horarios!C23</f>
        <v>46193.104166666664</v>
      </c>
      <c r="Y23" s="190">
        <f ca="1">Horarios!C23</f>
        <v>46193.104166666664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41"/>
      <c r="X24" s="189">
        <f ca="1">Horarios!C24</f>
        <v>46198</v>
      </c>
      <c r="Y24" s="190">
        <f ca="1">Horarios!C24</f>
        <v>46198</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42"/>
      <c r="X25" s="228">
        <f ca="1">Horarios!C25</f>
        <v>46198</v>
      </c>
      <c r="Y25" s="229">
        <f ca="1">Horarios!C25</f>
        <v>46198</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43" t="s">
        <v>73</v>
      </c>
      <c r="X28" s="189">
        <f ca="1">Horarios!C28</f>
        <v>46186.125</v>
      </c>
      <c r="Y28" s="190">
        <f ca="1">Horarios!C28</f>
        <v>46186.125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43"/>
      <c r="X29" s="189">
        <f ca="1">Horarios!C29</f>
        <v>46187.25</v>
      </c>
      <c r="Y29" s="190">
        <f ca="1">Horarios!C29</f>
        <v>46187.25</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43"/>
      <c r="X30" s="189">
        <f ca="1">Horarios!C30</f>
        <v>46192.875</v>
      </c>
      <c r="Y30" s="190">
        <f ca="1">Horarios!C30</f>
        <v>46192.875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43"/>
      <c r="X31" s="189">
        <f ca="1">Horarios!C31</f>
        <v>46193.208333333336</v>
      </c>
      <c r="Y31" s="190">
        <f ca="1">Horarios!C31</f>
        <v>46193.208333333336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43"/>
      <c r="X32" s="189">
        <f ca="1">Horarios!C32</f>
        <v>46199.166666666664</v>
      </c>
      <c r="Y32" s="190">
        <f ca="1">Horarios!C32</f>
        <v>46199.166666666664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4"/>
      <c r="X33" s="228">
        <f ca="1">Horarios!C33</f>
        <v>46199.166666666664</v>
      </c>
      <c r="Y33" s="229">
        <f ca="1">Horarios!C33</f>
        <v>46199.166666666664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5" t="s">
        <v>3</v>
      </c>
      <c r="X36" s="189">
        <f ca="1">Horarios!C36</f>
        <v>46187.791666666664</v>
      </c>
      <c r="Y36" s="190">
        <f ca="1">Horarios!C36</f>
        <v>46187.791666666664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5"/>
      <c r="X37" s="189">
        <f ca="1">Horarios!C37</f>
        <v>46188.041666666664</v>
      </c>
      <c r="Y37" s="190">
        <f ca="1">Horarios!C37</f>
        <v>46188.041666666664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5"/>
      <c r="X38" s="189">
        <f ca="1">Horarios!C38</f>
        <v>46193.916666666664</v>
      </c>
      <c r="Y38" s="190">
        <f ca="1">Horarios!C38</f>
        <v>46193.916666666664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5"/>
      <c r="X39" s="189">
        <f ca="1">Horarios!C39</f>
        <v>46194.083333333336</v>
      </c>
      <c r="Y39" s="190">
        <f ca="1">Horarios!C39</f>
        <v>46194.083333333336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5"/>
      <c r="X40" s="189">
        <f ca="1">Horarios!C40</f>
        <v>46198.916666666664</v>
      </c>
      <c r="Y40" s="190">
        <f ca="1">Horarios!C40</f>
        <v>46198.916666666664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6"/>
      <c r="X41" s="228">
        <f ca="1">Horarios!C41</f>
        <v>46198.916666666664</v>
      </c>
      <c r="Y41" s="229">
        <f ca="1">Horarios!C41</f>
        <v>46198.916666666664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8" t="s">
        <v>4</v>
      </c>
      <c r="X44" s="189">
        <f ca="1">Horarios!C44</f>
        <v>46187.916666666664</v>
      </c>
      <c r="Y44" s="190">
        <f ca="1">Horarios!C44</f>
        <v>46187.916666666664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8"/>
      <c r="X45" s="189">
        <f ca="1">Horarios!C45</f>
        <v>46188.166666666664</v>
      </c>
      <c r="Y45" s="190">
        <f ca="1">Horarios!C45</f>
        <v>46188.166666666664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8"/>
      <c r="X46" s="189">
        <f ca="1">Horarios!C46</f>
        <v>46193.791666666664</v>
      </c>
      <c r="Y46" s="190">
        <f ca="1">Horarios!C46</f>
        <v>46193.791666666664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8"/>
      <c r="X47" s="189">
        <f ca="1">Horarios!C47</f>
        <v>46194.25</v>
      </c>
      <c r="Y47" s="190">
        <f ca="1">Horarios!C47</f>
        <v>46194.25</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8"/>
      <c r="X48" s="189">
        <f ca="1">Horarios!C48</f>
        <v>46199.041666666664</v>
      </c>
      <c r="Y48" s="190">
        <f ca="1">Horarios!C48</f>
        <v>46199.041666666664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9"/>
      <c r="X49" s="228">
        <f ca="1">Horarios!C49</f>
        <v>46199.041666666664</v>
      </c>
      <c r="Y49" s="229">
        <f ca="1">Horarios!C49</f>
        <v>46199.041666666664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8" t="s">
        <v>6</v>
      </c>
      <c r="X52" s="189">
        <f ca="1">Horarios!C52</f>
        <v>46188.875</v>
      </c>
      <c r="Y52" s="190">
        <f ca="1">Horarios!C52</f>
        <v>46188.875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8"/>
      <c r="X53" s="189">
        <f ca="1">Horarios!C53</f>
        <v>46189.125</v>
      </c>
      <c r="Y53" s="190">
        <f ca="1">Horarios!C53</f>
        <v>46189.125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8"/>
      <c r="X54" s="189">
        <f ca="1">Horarios!C54</f>
        <v>46194.875</v>
      </c>
      <c r="Y54" s="190">
        <f ca="1">Horarios!C54</f>
        <v>46194.875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8"/>
      <c r="X55" s="189">
        <f ca="1">Horarios!C55</f>
        <v>46195.125</v>
      </c>
      <c r="Y55" s="190">
        <f ca="1">Horarios!C55</f>
        <v>46195.125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8"/>
      <c r="X56" s="189">
        <f ca="1">Horarios!C56</f>
        <v>46200.208333333336</v>
      </c>
      <c r="Y56" s="190">
        <f ca="1">Horarios!C56</f>
        <v>46200.208333333336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9"/>
      <c r="X57" s="228">
        <f ca="1">Horarios!C57</f>
        <v>46200.208333333336</v>
      </c>
      <c r="Y57" s="229">
        <f ca="1">Horarios!C57</f>
        <v>46200.208333333336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10" t="s">
        <v>437</v>
      </c>
      <c r="X60" s="189">
        <f ca="1">Horarios!C60</f>
        <v>46188.75</v>
      </c>
      <c r="Y60" s="190">
        <f ca="1">Horarios!C60</f>
        <v>46188.75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10"/>
      <c r="X61" s="189">
        <f ca="1">Horarios!C61</f>
        <v>46189</v>
      </c>
      <c r="Y61" s="190">
        <f ca="1">Horarios!C61</f>
        <v>46189</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10"/>
      <c r="X62" s="189">
        <f ca="1">Horarios!C62</f>
        <v>46194.75</v>
      </c>
      <c r="Y62" s="190">
        <f ca="1">Horarios!C62</f>
        <v>46194.75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10"/>
      <c r="X63" s="189">
        <f ca="1">Horarios!C63</f>
        <v>46195</v>
      </c>
      <c r="Y63" s="190">
        <f ca="1">Horarios!C63</f>
        <v>46195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10"/>
      <c r="X64" s="189">
        <f ca="1">Horarios!C64</f>
        <v>46200.083333333336</v>
      </c>
      <c r="Y64" s="190">
        <f ca="1">Horarios!C64</f>
        <v>46200.083333333336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11"/>
      <c r="X65" s="228">
        <f ca="1">Horarios!C65</f>
        <v>46200.083333333336</v>
      </c>
      <c r="Y65" s="229">
        <f ca="1">Horarios!C65</f>
        <v>46200.083333333336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6" t="s">
        <v>438</v>
      </c>
      <c r="X68" s="189">
        <f ca="1">Horarios!C68</f>
        <v>46189.875</v>
      </c>
      <c r="Y68" s="190">
        <f ca="1">Horarios!C68</f>
        <v>46189.875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6"/>
      <c r="X69" s="189">
        <f ca="1">Horarios!C69</f>
        <v>46190</v>
      </c>
      <c r="Y69" s="190">
        <f ca="1">Horarios!C69</f>
        <v>46190</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6"/>
      <c r="X70" s="189">
        <f ca="1">Horarios!C70</f>
        <v>46195.958333333336</v>
      </c>
      <c r="Y70" s="190">
        <f ca="1">Horarios!C70</f>
        <v>46195.958333333336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6"/>
      <c r="X71" s="189">
        <f ca="1">Horarios!C71</f>
        <v>46196.083333333336</v>
      </c>
      <c r="Y71" s="190">
        <f ca="1">Horarios!C71</f>
        <v>46196.083333333336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6"/>
      <c r="X72" s="189">
        <f ca="1">Horarios!C72</f>
        <v>46199.875</v>
      </c>
      <c r="Y72" s="190">
        <f ca="1">Horarios!C72</f>
        <v>46199.875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7"/>
      <c r="X73" s="228">
        <f ca="1">Horarios!C73</f>
        <v>46199.875</v>
      </c>
      <c r="Y73" s="229">
        <f ca="1">Horarios!C73</f>
        <v>46199.875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12" t="s">
        <v>5</v>
      </c>
      <c r="X76" s="189">
        <f ca="1">Horarios!C76</f>
        <v>46190.125</v>
      </c>
      <c r="Y76" s="190">
        <f ca="1">Horarios!C76</f>
        <v>46190.125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12"/>
      <c r="X77" s="189">
        <f ca="1">Horarios!C77</f>
        <v>46190.25</v>
      </c>
      <c r="Y77" s="190">
        <f ca="1">Horarios!C77</f>
        <v>46190.25</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12"/>
      <c r="X78" s="189">
        <f ca="1">Horarios!C78</f>
        <v>46195.791666666664</v>
      </c>
      <c r="Y78" s="190">
        <f ca="1">Horarios!C78</f>
        <v>46195.791666666664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12"/>
      <c r="X79" s="189">
        <f ca="1">Horarios!C79</f>
        <v>46196.208333333336</v>
      </c>
      <c r="Y79" s="190">
        <f ca="1">Horarios!C79</f>
        <v>46196.208333333336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12"/>
      <c r="X80" s="189">
        <f ca="1">Horarios!C80</f>
        <v>46201.166666666664</v>
      </c>
      <c r="Y80" s="190">
        <f ca="1">Horarios!C80</f>
        <v>46201.166666666664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13"/>
      <c r="X81" s="228">
        <f ca="1">Horarios!C81</f>
        <v>46201.166666666664</v>
      </c>
      <c r="Y81" s="229">
        <f ca="1">Horarios!C81</f>
        <v>46201.166666666664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8" t="s">
        <v>439</v>
      </c>
      <c r="X84" s="189">
        <f ca="1">Horarios!C84</f>
        <v>46190.791666666664</v>
      </c>
      <c r="Y84" s="190">
        <f ca="1">Horarios!C84</f>
        <v>46190.791666666664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8"/>
      <c r="X85" s="189">
        <f ca="1">Horarios!C85</f>
        <v>46191.166666666664</v>
      </c>
      <c r="Y85" s="190">
        <f ca="1">Horarios!C85</f>
        <v>46191.166666666664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8"/>
      <c r="X86" s="189">
        <f ca="1">Horarios!C86</f>
        <v>46196.791666666664</v>
      </c>
      <c r="Y86" s="190">
        <f ca="1">Horarios!C86</f>
        <v>46196.791666666664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8"/>
      <c r="X87" s="189">
        <f ca="1">Horarios!C87</f>
        <v>46197.166666666664</v>
      </c>
      <c r="Y87" s="190">
        <f ca="1">Horarios!C87</f>
        <v>46197.166666666664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8"/>
      <c r="X88" s="189">
        <f ca="1">Horarios!C88</f>
        <v>46201.0625</v>
      </c>
      <c r="Y88" s="190">
        <f ca="1">Horarios!C88</f>
        <v>46201.0625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9"/>
      <c r="X89" s="228">
        <f ca="1">Horarios!C89</f>
        <v>46201.0625</v>
      </c>
      <c r="Y89" s="229">
        <f ca="1">Horarios!C89</f>
        <v>46201.0625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4" t="s">
        <v>238</v>
      </c>
      <c r="X92" s="189">
        <f ca="1">Horarios!C92</f>
        <v>46190.916666666664</v>
      </c>
      <c r="Y92" s="190">
        <f ca="1">Horarios!C92</f>
        <v>46190.916666666664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4"/>
      <c r="X93" s="189">
        <f ca="1">Horarios!C93</f>
        <v>46191.041666666664</v>
      </c>
      <c r="Y93" s="190">
        <f ca="1">Horarios!C93</f>
        <v>46191.041666666664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4"/>
      <c r="X94" s="189">
        <f ca="1">Horarios!C94</f>
        <v>46196.916666666664</v>
      </c>
      <c r="Y94" s="190">
        <f ca="1">Horarios!C94</f>
        <v>46196.916666666664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4"/>
      <c r="X95" s="189">
        <f ca="1">Horarios!C95</f>
        <v>46197.041666666664</v>
      </c>
      <c r="Y95" s="190">
        <f ca="1">Horarios!C95</f>
        <v>46197.041666666664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4"/>
      <c r="X96" s="189">
        <f ca="1">Horarios!C96</f>
        <v>46200.958333333336</v>
      </c>
      <c r="Y96" s="190">
        <f ca="1">Horarios!C96</f>
        <v>46200.958333333336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5"/>
      <c r="X97" s="228">
        <f ca="1">Horarios!C97</f>
        <v>46200.958333333336</v>
      </c>
      <c r="Y97" s="229">
        <f ca="1">Horarios!C97</f>
        <v>46200.958333333336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20"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20"/>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20"/>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20"/>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20"/>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20"/>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20"/>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20"/>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20"/>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20"/>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20"/>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20"/>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20"/>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20"/>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20"/>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21"/>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22"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22"/>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22"/>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22"/>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22"/>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22"/>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22"/>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23"/>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4"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4"/>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4"/>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5"/>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6"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7"/>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5" t="str">
        <f>IF(SUM(COUNTIF(AG4:AG97,0),COUNTIF(AG101:AG160,0)&gt;0),AL148,AL149)</f>
        <v>MUNDIAL EN CURSO</v>
      </c>
      <c r="AK151" s="836"/>
      <c r="AL151" s="836"/>
      <c r="AM151" s="836"/>
      <c r="AN151" s="836"/>
      <c r="AO151" s="836"/>
      <c r="AP151" s="836"/>
      <c r="AQ151" s="836"/>
      <c r="AR151" s="836"/>
      <c r="AS151" s="836"/>
      <c r="AT151" s="836"/>
      <c r="AU151" s="837"/>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8"/>
      <c r="AK152" s="839"/>
      <c r="AL152" s="839"/>
      <c r="AM152" s="839"/>
      <c r="AN152" s="839"/>
      <c r="AO152" s="839"/>
      <c r="AP152" s="839"/>
      <c r="AQ152" s="839"/>
      <c r="AR152" s="839"/>
      <c r="AS152" s="839"/>
      <c r="AT152" s="839"/>
      <c r="AU152" s="840"/>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8"/>
      <c r="AK153" s="839"/>
      <c r="AL153" s="839"/>
      <c r="AM153" s="839"/>
      <c r="AN153" s="839"/>
      <c r="AO153" s="839"/>
      <c r="AP153" s="839"/>
      <c r="AQ153" s="839"/>
      <c r="AR153" s="839"/>
      <c r="AS153" s="839"/>
      <c r="AT153" s="839"/>
      <c r="AU153" s="840"/>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8"/>
      <c r="AK154" s="839"/>
      <c r="AL154" s="839"/>
      <c r="AM154" s="839"/>
      <c r="AN154" s="839"/>
      <c r="AO154" s="839"/>
      <c r="AP154" s="839"/>
      <c r="AQ154" s="839"/>
      <c r="AR154" s="839"/>
      <c r="AS154" s="839"/>
      <c r="AT154" s="839"/>
      <c r="AU154" s="840"/>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02" t="str">
        <f>IF(SUM(COUNTIF(AG4:AG97,0),COUNTIF(AG101:AG160,0)&gt;0),AM148,AM149)</f>
        <v>Todavía hay emoción</v>
      </c>
      <c r="AK155" s="803"/>
      <c r="AL155" s="803"/>
      <c r="AM155" s="803"/>
      <c r="AN155" s="803"/>
      <c r="AO155" s="803"/>
      <c r="AP155" s="803"/>
      <c r="AQ155" s="803"/>
      <c r="AR155" s="803"/>
      <c r="AS155" s="803"/>
      <c r="AT155" s="803"/>
      <c r="AU155" s="804"/>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02"/>
      <c r="AK156" s="803"/>
      <c r="AL156" s="803"/>
      <c r="AM156" s="803"/>
      <c r="AN156" s="803"/>
      <c r="AO156" s="803"/>
      <c r="AP156" s="803"/>
      <c r="AQ156" s="803"/>
      <c r="AR156" s="803"/>
      <c r="AS156" s="803"/>
      <c r="AT156" s="803"/>
      <c r="AU156" s="804"/>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5"/>
      <c r="AK157" s="806"/>
      <c r="AL157" s="806"/>
      <c r="AM157" s="806"/>
      <c r="AN157" s="806"/>
      <c r="AO157" s="806"/>
      <c r="AP157" s="806"/>
      <c r="AQ157" s="806"/>
      <c r="AR157" s="806"/>
      <c r="AS157" s="806"/>
      <c r="AT157" s="806"/>
      <c r="AU157" s="807"/>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abSelected="1" topLeftCell="B1" zoomScaleNormal="100" workbookViewId="0">
      <selection activeCell="D49" sqref="D49"/>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19</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1993</v>
      </c>
      <c r="T5" s="70"/>
      <c r="U5" s="65">
        <v>1</v>
      </c>
      <c r="V5" s="69" t="s">
        <v>2030</v>
      </c>
      <c r="W5" s="70"/>
      <c r="X5" s="65">
        <v>2</v>
      </c>
      <c r="Y5" s="69" t="s">
        <v>2031</v>
      </c>
      <c r="Z5" s="70"/>
      <c r="AA5" s="65">
        <v>3</v>
      </c>
      <c r="AB5" s="69" t="s">
        <v>2067</v>
      </c>
      <c r="AC5" s="70"/>
      <c r="AD5" s="65">
        <v>4</v>
      </c>
      <c r="AE5" s="69" t="s">
        <v>2122</v>
      </c>
      <c r="AF5" s="70"/>
      <c r="AG5" s="65">
        <v>5</v>
      </c>
      <c r="AH5" s="69" t="s">
        <v>2120</v>
      </c>
      <c r="AI5" s="70"/>
      <c r="AJ5" s="65">
        <v>6</v>
      </c>
      <c r="AK5" s="69" t="s">
        <v>2177</v>
      </c>
      <c r="AL5" s="70"/>
      <c r="AM5" s="65">
        <v>7</v>
      </c>
      <c r="AN5" s="69" t="s">
        <v>2203</v>
      </c>
      <c r="AO5" s="70"/>
      <c r="AP5" s="65">
        <v>8</v>
      </c>
      <c r="AQ5" s="69" t="s">
        <v>2224</v>
      </c>
      <c r="AR5" s="70"/>
      <c r="AS5" s="65">
        <v>9</v>
      </c>
      <c r="AT5" s="69" t="s">
        <v>2251</v>
      </c>
      <c r="AU5" s="70"/>
      <c r="AV5" s="65">
        <v>10</v>
      </c>
      <c r="AW5" s="69" t="s">
        <v>2249</v>
      </c>
      <c r="AX5" s="70"/>
      <c r="AY5" s="65">
        <v>11</v>
      </c>
      <c r="AZ5" s="69" t="s">
        <v>2297</v>
      </c>
      <c r="BA5" s="70"/>
      <c r="BB5" s="65">
        <v>12</v>
      </c>
      <c r="BC5" s="69" t="s">
        <v>2298</v>
      </c>
      <c r="BD5" s="70"/>
      <c r="BE5" s="65">
        <v>13</v>
      </c>
      <c r="BF5" s="69" t="s">
        <v>2299</v>
      </c>
      <c r="BG5" s="70"/>
      <c r="BH5" s="65">
        <v>14</v>
      </c>
      <c r="BI5" s="69" t="s">
        <v>2300</v>
      </c>
      <c r="BJ5" s="70"/>
      <c r="BK5" s="65">
        <v>15</v>
      </c>
      <c r="BL5" s="69" t="s">
        <v>2301</v>
      </c>
      <c r="BM5" s="70"/>
      <c r="BN5" s="65">
        <v>16</v>
      </c>
      <c r="BO5" s="69" t="s">
        <v>2302</v>
      </c>
      <c r="BP5" s="70"/>
      <c r="BQ5" s="65">
        <v>17</v>
      </c>
      <c r="BR5" s="69" t="s">
        <v>2303</v>
      </c>
      <c r="BS5" s="70"/>
      <c r="BT5" s="65">
        <v>18</v>
      </c>
      <c r="BU5" s="69" t="s">
        <v>2304</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7</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1948</v>
      </c>
      <c r="W6" s="73">
        <f>IFERROR(IF($M6=V6,($D$8+$D$9+$D$10)*$I6,IF($N6=LEFT(V6,1),($D$8+MAX(0,IF($D$50=1,$D$9*(1-(ABS($Q6-ABS(VALUE(MID(V6,FIND("|",V6)+1,FIND("-",V6)-FIND("|",V6)-1))-VALUE(MID(V6,FIND("-",V6)+1,10)))))*$D$50),$D$9*(1-(IF($N6="X",ABS($O6-VALUE(MID(V6,FIND("|",V6)+1,FIND("-",V6)-FIND("|",V6)-1))),ABS($Q6-ABS(VALUE(MID(V6,FIND("|",V6)+1,FIND("-",V6)-FIND("|",V6)-1))-VALUE(MID(V6,FIND("-",V6)+1,10)))))*$D$50)))))*$I6,0)),0)</f>
        <v>0</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1945</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1949</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1948</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1946</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1948</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1942</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1948</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1949</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1945</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1949</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1949</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1948</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1949</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1949</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7</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1948</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1942</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50"/>
        <v>0</v>
      </c>
      <c r="AD7" s="111"/>
      <c r="AE7" s="72" t="s">
        <v>1942</v>
      </c>
      <c r="AF7" s="73">
        <f t="shared" si="50"/>
        <v>0</v>
      </c>
      <c r="AG7" s="111"/>
      <c r="AH7" s="72" t="s">
        <v>1948</v>
      </c>
      <c r="AI7" s="73">
        <f t="shared" si="50"/>
        <v>0</v>
      </c>
      <c r="AJ7" s="111"/>
      <c r="AK7" s="72" t="s">
        <v>1942</v>
      </c>
      <c r="AL7" s="73">
        <f t="shared" si="50"/>
        <v>0</v>
      </c>
      <c r="AM7" s="111"/>
      <c r="AN7" s="72" t="s">
        <v>1942</v>
      </c>
      <c r="AO7" s="73">
        <f t="shared" si="50"/>
        <v>0</v>
      </c>
      <c r="AP7" s="111"/>
      <c r="AQ7" s="72" t="s">
        <v>1952</v>
      </c>
      <c r="AR7" s="73">
        <f t="shared" si="50"/>
        <v>0</v>
      </c>
      <c r="AS7" s="111"/>
      <c r="AT7" s="72" t="s">
        <v>1954</v>
      </c>
      <c r="AU7" s="73">
        <f t="shared" si="50"/>
        <v>0</v>
      </c>
      <c r="AV7" s="111"/>
      <c r="AW7" s="72" t="s">
        <v>1948</v>
      </c>
      <c r="AX7" s="73">
        <f t="shared" si="50"/>
        <v>0</v>
      </c>
      <c r="AY7" s="111"/>
      <c r="AZ7" s="72" t="s">
        <v>1942</v>
      </c>
      <c r="BA7" s="73">
        <f t="shared" si="50"/>
        <v>0</v>
      </c>
      <c r="BB7" s="111"/>
      <c r="BC7" s="72" t="s">
        <v>1942</v>
      </c>
      <c r="BD7" s="73">
        <f t="shared" si="50"/>
        <v>0</v>
      </c>
      <c r="BE7" s="111"/>
      <c r="BF7" s="72" t="s">
        <v>1942</v>
      </c>
      <c r="BG7" s="73">
        <f t="shared" si="50"/>
        <v>0</v>
      </c>
      <c r="BH7" s="111"/>
      <c r="BI7" s="72" t="s">
        <v>1948</v>
      </c>
      <c r="BJ7" s="73">
        <f t="shared" si="50"/>
        <v>0</v>
      </c>
      <c r="BK7" s="111"/>
      <c r="BL7" s="72" t="s">
        <v>1942</v>
      </c>
      <c r="BM7" s="73">
        <f t="shared" si="50"/>
        <v>0</v>
      </c>
      <c r="BN7" s="111"/>
      <c r="BO7" s="72" t="s">
        <v>1945</v>
      </c>
      <c r="BP7" s="73">
        <f t="shared" si="50"/>
        <v>0</v>
      </c>
      <c r="BQ7" s="111"/>
      <c r="BR7" s="72" t="s">
        <v>1942</v>
      </c>
      <c r="BS7" s="73">
        <f t="shared" si="50"/>
        <v>0</v>
      </c>
      <c r="BT7" s="111"/>
      <c r="BU7" s="72" t="s">
        <v>1942</v>
      </c>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1</v>
      </c>
      <c r="E8" s="111"/>
      <c r="F8" s="445">
        <f t="shared" si="47"/>
        <v>7</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1942</v>
      </c>
      <c r="T8" s="73">
        <f t="shared" si="48"/>
        <v>0</v>
      </c>
      <c r="U8" s="65"/>
      <c r="V8" s="74" t="s">
        <v>1942</v>
      </c>
      <c r="W8" s="73">
        <f t="shared" si="49"/>
        <v>0</v>
      </c>
      <c r="X8" s="65"/>
      <c r="Y8" s="74" t="s">
        <v>1942</v>
      </c>
      <c r="Z8" s="73">
        <f t="shared" si="50"/>
        <v>0</v>
      </c>
      <c r="AA8" s="65"/>
      <c r="AB8" s="74" t="s">
        <v>1945</v>
      </c>
      <c r="AC8" s="73">
        <f t="shared" si="50"/>
        <v>0</v>
      </c>
      <c r="AD8" s="65"/>
      <c r="AE8" s="74" t="s">
        <v>1951</v>
      </c>
      <c r="AF8" s="73">
        <f t="shared" si="50"/>
        <v>0</v>
      </c>
      <c r="AG8" s="65"/>
      <c r="AH8" s="74" t="s">
        <v>1948</v>
      </c>
      <c r="AI8" s="73">
        <f t="shared" si="50"/>
        <v>0</v>
      </c>
      <c r="AJ8" s="65"/>
      <c r="AK8" s="74" t="s">
        <v>1948</v>
      </c>
      <c r="AL8" s="73">
        <f t="shared" si="50"/>
        <v>0</v>
      </c>
      <c r="AM8" s="65"/>
      <c r="AN8" s="74" t="s">
        <v>1948</v>
      </c>
      <c r="AO8" s="73">
        <f t="shared" si="50"/>
        <v>0</v>
      </c>
      <c r="AP8" s="65"/>
      <c r="AQ8" s="74" t="s">
        <v>1942</v>
      </c>
      <c r="AR8" s="73">
        <f t="shared" si="50"/>
        <v>0</v>
      </c>
      <c r="AS8" s="65"/>
      <c r="AT8" s="74" t="s">
        <v>1949</v>
      </c>
      <c r="AU8" s="73">
        <f t="shared" si="50"/>
        <v>0</v>
      </c>
      <c r="AV8" s="65"/>
      <c r="AW8" s="74" t="s">
        <v>1942</v>
      </c>
      <c r="AX8" s="73">
        <f t="shared" si="50"/>
        <v>0</v>
      </c>
      <c r="AY8" s="65"/>
      <c r="AZ8" s="74" t="s">
        <v>1945</v>
      </c>
      <c r="BA8" s="73">
        <f t="shared" si="50"/>
        <v>0</v>
      </c>
      <c r="BB8" s="65"/>
      <c r="BC8" s="74" t="s">
        <v>1948</v>
      </c>
      <c r="BD8" s="73">
        <f t="shared" si="50"/>
        <v>0</v>
      </c>
      <c r="BE8" s="65"/>
      <c r="BF8" s="74" t="s">
        <v>1942</v>
      </c>
      <c r="BG8" s="73">
        <f t="shared" si="50"/>
        <v>0</v>
      </c>
      <c r="BH8" s="65"/>
      <c r="BI8" s="74" t="s">
        <v>1952</v>
      </c>
      <c r="BJ8" s="73">
        <f t="shared" si="50"/>
        <v>0</v>
      </c>
      <c r="BK8" s="65"/>
      <c r="BL8" s="74" t="s">
        <v>1944</v>
      </c>
      <c r="BM8" s="73">
        <f t="shared" si="50"/>
        <v>0</v>
      </c>
      <c r="BN8" s="65"/>
      <c r="BO8" s="74" t="s">
        <v>1942</v>
      </c>
      <c r="BP8" s="73">
        <f t="shared" si="50"/>
        <v>0</v>
      </c>
      <c r="BQ8" s="65"/>
      <c r="BR8" s="74" t="s">
        <v>1948</v>
      </c>
      <c r="BS8" s="73">
        <f t="shared" si="50"/>
        <v>0</v>
      </c>
      <c r="BT8" s="65"/>
      <c r="BU8" s="74" t="s">
        <v>1948</v>
      </c>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3</v>
      </c>
      <c r="E9" s="111"/>
      <c r="F9" s="445">
        <f t="shared" si="47"/>
        <v>7</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1943</v>
      </c>
      <c r="T9" s="73">
        <f t="shared" si="48"/>
        <v>0</v>
      </c>
      <c r="U9" s="65"/>
      <c r="V9" s="75" t="s">
        <v>1943</v>
      </c>
      <c r="W9" s="73">
        <f t="shared" si="49"/>
        <v>0</v>
      </c>
      <c r="X9" s="65"/>
      <c r="Y9" s="75" t="s">
        <v>1955</v>
      </c>
      <c r="Z9" s="73">
        <f t="shared" si="50"/>
        <v>0</v>
      </c>
      <c r="AA9" s="65"/>
      <c r="AB9" s="75" t="s">
        <v>1952</v>
      </c>
      <c r="AC9" s="73">
        <f t="shared" si="50"/>
        <v>0</v>
      </c>
      <c r="AD9" s="65"/>
      <c r="AE9" s="75" t="s">
        <v>1944</v>
      </c>
      <c r="AF9" s="73">
        <f t="shared" si="50"/>
        <v>0</v>
      </c>
      <c r="AG9" s="65"/>
      <c r="AH9" s="75" t="s">
        <v>1943</v>
      </c>
      <c r="AI9" s="73">
        <f t="shared" si="50"/>
        <v>0</v>
      </c>
      <c r="AJ9" s="65"/>
      <c r="AK9" s="75" t="s">
        <v>1943</v>
      </c>
      <c r="AL9" s="73">
        <f t="shared" si="50"/>
        <v>0</v>
      </c>
      <c r="AM9" s="65"/>
      <c r="AN9" s="75" t="s">
        <v>1946</v>
      </c>
      <c r="AO9" s="73">
        <f t="shared" si="50"/>
        <v>0</v>
      </c>
      <c r="AP9" s="65"/>
      <c r="AQ9" s="75" t="s">
        <v>1943</v>
      </c>
      <c r="AR9" s="73">
        <f t="shared" si="50"/>
        <v>0</v>
      </c>
      <c r="AS9" s="65"/>
      <c r="AT9" s="75" t="s">
        <v>1952</v>
      </c>
      <c r="AU9" s="73">
        <f t="shared" si="50"/>
        <v>0</v>
      </c>
      <c r="AV9" s="65"/>
      <c r="AW9" s="75" t="s">
        <v>1955</v>
      </c>
      <c r="AX9" s="73">
        <f t="shared" si="50"/>
        <v>0</v>
      </c>
      <c r="AY9" s="65"/>
      <c r="AZ9" s="75" t="s">
        <v>1942</v>
      </c>
      <c r="BA9" s="73">
        <f t="shared" si="50"/>
        <v>0</v>
      </c>
      <c r="BB9" s="65"/>
      <c r="BC9" s="75" t="s">
        <v>1955</v>
      </c>
      <c r="BD9" s="73">
        <f t="shared" si="50"/>
        <v>0</v>
      </c>
      <c r="BE9" s="65"/>
      <c r="BF9" s="75" t="s">
        <v>1943</v>
      </c>
      <c r="BG9" s="73">
        <f t="shared" si="50"/>
        <v>0</v>
      </c>
      <c r="BH9" s="65"/>
      <c r="BI9" s="75" t="s">
        <v>1943</v>
      </c>
      <c r="BJ9" s="73">
        <f t="shared" si="50"/>
        <v>0</v>
      </c>
      <c r="BK9" s="65"/>
      <c r="BL9" s="75" t="s">
        <v>1943</v>
      </c>
      <c r="BM9" s="73">
        <f t="shared" si="50"/>
        <v>0</v>
      </c>
      <c r="BN9" s="65"/>
      <c r="BO9" s="75" t="s">
        <v>1952</v>
      </c>
      <c r="BP9" s="73">
        <f t="shared" si="50"/>
        <v>0</v>
      </c>
      <c r="BQ9" s="65"/>
      <c r="BR9" s="75" t="s">
        <v>1943</v>
      </c>
      <c r="BS9" s="73">
        <f t="shared" si="50"/>
        <v>0</v>
      </c>
      <c r="BT9" s="65"/>
      <c r="BU9" s="75" t="s">
        <v>1943</v>
      </c>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3</v>
      </c>
      <c r="E10" s="111"/>
      <c r="F10" s="445">
        <f t="shared" si="47"/>
        <v>21</v>
      </c>
      <c r="G10" s="445">
        <f ca="1">VLOOKUP(H10,Equipos!$Q$1:$R$25,2,0)</f>
        <v>4</v>
      </c>
      <c r="H10" s="446">
        <f ca="1">TRUNC(INDEX(WORLDCUP!$X$4:$X$147,MATCH(ADMIN!K10,WORLDCUP!$DT$4:$DT$147,0))+INDEX(Horarios!$R$3:$R$86,MATCH(Horarios!$C$3,Horarios!$P$3:$P$86,0))/24)</f>
        <v>46187</v>
      </c>
      <c r="I10" s="48">
        <v>3</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1944</v>
      </c>
      <c r="T10" s="73">
        <f t="shared" si="48"/>
        <v>0</v>
      </c>
      <c r="U10" s="65"/>
      <c r="V10" s="74" t="s">
        <v>1944</v>
      </c>
      <c r="W10" s="73">
        <f t="shared" si="49"/>
        <v>0</v>
      </c>
      <c r="X10" s="65"/>
      <c r="Y10" s="74" t="s">
        <v>1948</v>
      </c>
      <c r="Z10" s="73">
        <f t="shared" si="50"/>
        <v>0</v>
      </c>
      <c r="AA10" s="65"/>
      <c r="AB10" s="74" t="s">
        <v>1942</v>
      </c>
      <c r="AC10" s="73">
        <f t="shared" si="50"/>
        <v>0</v>
      </c>
      <c r="AD10" s="65"/>
      <c r="AE10" s="74" t="s">
        <v>1997</v>
      </c>
      <c r="AF10" s="73">
        <f t="shared" si="50"/>
        <v>0</v>
      </c>
      <c r="AG10" s="65"/>
      <c r="AH10" s="74" t="s">
        <v>1948</v>
      </c>
      <c r="AI10" s="73">
        <f t="shared" si="50"/>
        <v>0</v>
      </c>
      <c r="AJ10" s="65"/>
      <c r="AK10" s="74" t="s">
        <v>2154</v>
      </c>
      <c r="AL10" s="73">
        <f t="shared" si="50"/>
        <v>0</v>
      </c>
      <c r="AM10" s="65"/>
      <c r="AN10" s="74" t="s">
        <v>1948</v>
      </c>
      <c r="AO10" s="73">
        <f t="shared" si="50"/>
        <v>0</v>
      </c>
      <c r="AP10" s="65"/>
      <c r="AQ10" s="74" t="s">
        <v>2154</v>
      </c>
      <c r="AR10" s="73">
        <f t="shared" si="50"/>
        <v>0</v>
      </c>
      <c r="AS10" s="65"/>
      <c r="AT10" s="74" t="s">
        <v>1952</v>
      </c>
      <c r="AU10" s="73">
        <f t="shared" si="50"/>
        <v>0</v>
      </c>
      <c r="AV10" s="65"/>
      <c r="AW10" s="74" t="s">
        <v>1942</v>
      </c>
      <c r="AX10" s="73">
        <f t="shared" si="50"/>
        <v>0</v>
      </c>
      <c r="AY10" s="65"/>
      <c r="AZ10" s="74" t="s">
        <v>1942</v>
      </c>
      <c r="BA10" s="73">
        <f t="shared" si="50"/>
        <v>0</v>
      </c>
      <c r="BB10" s="65"/>
      <c r="BC10" s="74" t="s">
        <v>1948</v>
      </c>
      <c r="BD10" s="73">
        <f t="shared" si="50"/>
        <v>0</v>
      </c>
      <c r="BE10" s="65"/>
      <c r="BF10" s="74" t="s">
        <v>1942</v>
      </c>
      <c r="BG10" s="73">
        <f t="shared" si="50"/>
        <v>0</v>
      </c>
      <c r="BH10" s="65"/>
      <c r="BI10" s="74" t="s">
        <v>1945</v>
      </c>
      <c r="BJ10" s="73">
        <f t="shared" si="50"/>
        <v>0</v>
      </c>
      <c r="BK10" s="65"/>
      <c r="BL10" s="74" t="s">
        <v>1949</v>
      </c>
      <c r="BM10" s="73">
        <f t="shared" si="50"/>
        <v>0</v>
      </c>
      <c r="BN10" s="65"/>
      <c r="BO10" s="74" t="s">
        <v>1948</v>
      </c>
      <c r="BP10" s="73">
        <f t="shared" si="50"/>
        <v>0</v>
      </c>
      <c r="BQ10" s="65"/>
      <c r="BR10" s="74" t="s">
        <v>1948</v>
      </c>
      <c r="BS10" s="73">
        <f t="shared" si="50"/>
        <v>0</v>
      </c>
      <c r="BT10" s="65"/>
      <c r="BU10" s="74" t="s">
        <v>1948</v>
      </c>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5</v>
      </c>
      <c r="E11" s="111"/>
      <c r="F11" s="445">
        <f t="shared" si="47"/>
        <v>7</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1943</v>
      </c>
      <c r="T11" s="73">
        <f t="shared" si="48"/>
        <v>0</v>
      </c>
      <c r="U11" s="65"/>
      <c r="V11" s="74" t="s">
        <v>1943</v>
      </c>
      <c r="W11" s="73">
        <f t="shared" si="49"/>
        <v>0</v>
      </c>
      <c r="X11" s="65"/>
      <c r="Y11" s="74" t="s">
        <v>1995</v>
      </c>
      <c r="Z11" s="73">
        <f t="shared" si="50"/>
        <v>0</v>
      </c>
      <c r="AA11" s="65"/>
      <c r="AB11" s="74" t="s">
        <v>1952</v>
      </c>
      <c r="AC11" s="73">
        <f t="shared" si="50"/>
        <v>0</v>
      </c>
      <c r="AD11" s="65"/>
      <c r="AE11" s="74" t="s">
        <v>2038</v>
      </c>
      <c r="AF11" s="73">
        <f t="shared" si="50"/>
        <v>0</v>
      </c>
      <c r="AG11" s="65"/>
      <c r="AH11" s="74" t="s">
        <v>1943</v>
      </c>
      <c r="AI11" s="73">
        <f t="shared" si="50"/>
        <v>0</v>
      </c>
      <c r="AJ11" s="65"/>
      <c r="AK11" s="74" t="s">
        <v>1943</v>
      </c>
      <c r="AL11" s="73">
        <f t="shared" si="50"/>
        <v>0</v>
      </c>
      <c r="AM11" s="65"/>
      <c r="AN11" s="74" t="s">
        <v>1942</v>
      </c>
      <c r="AO11" s="73">
        <f t="shared" si="50"/>
        <v>0</v>
      </c>
      <c r="AP11" s="65"/>
      <c r="AQ11" s="74" t="s">
        <v>1946</v>
      </c>
      <c r="AR11" s="73">
        <f t="shared" si="50"/>
        <v>0</v>
      </c>
      <c r="AS11" s="65"/>
      <c r="AT11" s="74" t="s">
        <v>1943</v>
      </c>
      <c r="AU11" s="73">
        <f t="shared" si="50"/>
        <v>0</v>
      </c>
      <c r="AV11" s="65"/>
      <c r="AW11" s="74" t="s">
        <v>1955</v>
      </c>
      <c r="AX11" s="73">
        <f t="shared" si="50"/>
        <v>0</v>
      </c>
      <c r="AY11" s="65"/>
      <c r="AZ11" s="74" t="s">
        <v>1943</v>
      </c>
      <c r="BA11" s="73">
        <f t="shared" si="50"/>
        <v>0</v>
      </c>
      <c r="BB11" s="65"/>
      <c r="BC11" s="74" t="s">
        <v>1955</v>
      </c>
      <c r="BD11" s="73">
        <f t="shared" si="50"/>
        <v>0</v>
      </c>
      <c r="BE11" s="65"/>
      <c r="BF11" s="74" t="s">
        <v>1943</v>
      </c>
      <c r="BG11" s="73">
        <f t="shared" si="50"/>
        <v>0</v>
      </c>
      <c r="BH11" s="65"/>
      <c r="BI11" s="74" t="s">
        <v>1995</v>
      </c>
      <c r="BJ11" s="73">
        <f t="shared" si="50"/>
        <v>0</v>
      </c>
      <c r="BK11" s="65"/>
      <c r="BL11" s="74" t="s">
        <v>1955</v>
      </c>
      <c r="BM11" s="73">
        <f t="shared" si="50"/>
        <v>0</v>
      </c>
      <c r="BN11" s="65"/>
      <c r="BO11" s="74" t="s">
        <v>1943</v>
      </c>
      <c r="BP11" s="73">
        <f t="shared" si="50"/>
        <v>0</v>
      </c>
      <c r="BQ11" s="65"/>
      <c r="BR11" s="74" t="s">
        <v>1943</v>
      </c>
      <c r="BS11" s="73">
        <f t="shared" si="50"/>
        <v>0</v>
      </c>
      <c r="BT11" s="65"/>
      <c r="BU11" s="74" t="s">
        <v>1946</v>
      </c>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5</v>
      </c>
      <c r="E12" s="111"/>
      <c r="F12" s="445">
        <f t="shared" si="47"/>
        <v>7</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1945</v>
      </c>
      <c r="T12" s="73">
        <f t="shared" si="48"/>
        <v>0</v>
      </c>
      <c r="U12" s="65"/>
      <c r="V12" s="74" t="s">
        <v>1945</v>
      </c>
      <c r="W12" s="73">
        <f t="shared" si="49"/>
        <v>0</v>
      </c>
      <c r="X12" s="65"/>
      <c r="Y12" s="74" t="s">
        <v>1948</v>
      </c>
      <c r="Z12" s="73">
        <f t="shared" si="50"/>
        <v>0</v>
      </c>
      <c r="AA12" s="65"/>
      <c r="AB12" s="74" t="s">
        <v>1942</v>
      </c>
      <c r="AC12" s="73">
        <f t="shared" si="50"/>
        <v>0</v>
      </c>
      <c r="AD12" s="65"/>
      <c r="AE12" s="74" t="s">
        <v>1942</v>
      </c>
      <c r="AF12" s="73">
        <f t="shared" si="50"/>
        <v>0</v>
      </c>
      <c r="AG12" s="65"/>
      <c r="AH12" s="74" t="s">
        <v>1948</v>
      </c>
      <c r="AI12" s="73">
        <f t="shared" si="50"/>
        <v>0</v>
      </c>
      <c r="AJ12" s="65"/>
      <c r="AK12" s="74" t="s">
        <v>1942</v>
      </c>
      <c r="AL12" s="73">
        <f t="shared" si="50"/>
        <v>0</v>
      </c>
      <c r="AM12" s="65"/>
      <c r="AN12" s="74" t="s">
        <v>1948</v>
      </c>
      <c r="AO12" s="73">
        <f t="shared" si="50"/>
        <v>0</v>
      </c>
      <c r="AP12" s="65"/>
      <c r="AQ12" s="74" t="s">
        <v>1942</v>
      </c>
      <c r="AR12" s="73">
        <f t="shared" si="50"/>
        <v>0</v>
      </c>
      <c r="AS12" s="65"/>
      <c r="AT12" s="74" t="s">
        <v>1942</v>
      </c>
      <c r="AU12" s="73">
        <f t="shared" si="50"/>
        <v>0</v>
      </c>
      <c r="AV12" s="65"/>
      <c r="AW12" s="74" t="s">
        <v>1946</v>
      </c>
      <c r="AX12" s="73">
        <f t="shared" si="50"/>
        <v>0</v>
      </c>
      <c r="AY12" s="65"/>
      <c r="AZ12" s="74" t="s">
        <v>1948</v>
      </c>
      <c r="BA12" s="73">
        <f t="shared" si="50"/>
        <v>0</v>
      </c>
      <c r="BB12" s="65"/>
      <c r="BC12" s="74" t="s">
        <v>1945</v>
      </c>
      <c r="BD12" s="73">
        <f t="shared" si="50"/>
        <v>0</v>
      </c>
      <c r="BE12" s="65"/>
      <c r="BF12" s="74" t="s">
        <v>1942</v>
      </c>
      <c r="BG12" s="73">
        <f t="shared" si="50"/>
        <v>0</v>
      </c>
      <c r="BH12" s="65"/>
      <c r="BI12" s="74" t="s">
        <v>1945</v>
      </c>
      <c r="BJ12" s="73">
        <f t="shared" si="50"/>
        <v>0</v>
      </c>
      <c r="BK12" s="65"/>
      <c r="BL12" s="74" t="s">
        <v>1949</v>
      </c>
      <c r="BM12" s="73">
        <f t="shared" si="50"/>
        <v>0</v>
      </c>
      <c r="BN12" s="65"/>
      <c r="BO12" s="74" t="s">
        <v>1948</v>
      </c>
      <c r="BP12" s="73">
        <f t="shared" si="50"/>
        <v>0</v>
      </c>
      <c r="BQ12" s="65"/>
      <c r="BR12" s="74" t="s">
        <v>1948</v>
      </c>
      <c r="BS12" s="73">
        <f t="shared" si="50"/>
        <v>0</v>
      </c>
      <c r="BT12" s="65"/>
      <c r="BU12" s="74" t="s">
        <v>1948</v>
      </c>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5</v>
      </c>
      <c r="E13" s="111"/>
      <c r="F13" s="445">
        <f t="shared" si="47"/>
        <v>7</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1946</v>
      </c>
      <c r="T13" s="73">
        <f t="shared" si="48"/>
        <v>0</v>
      </c>
      <c r="U13" s="65"/>
      <c r="V13" s="74" t="s">
        <v>1994</v>
      </c>
      <c r="W13" s="73">
        <f t="shared" si="49"/>
        <v>0</v>
      </c>
      <c r="X13" s="65"/>
      <c r="Y13" s="74" t="s">
        <v>1943</v>
      </c>
      <c r="Z13" s="73">
        <f t="shared" si="50"/>
        <v>0</v>
      </c>
      <c r="AA13" s="65"/>
      <c r="AB13" s="74" t="s">
        <v>1942</v>
      </c>
      <c r="AC13" s="73">
        <f t="shared" si="50"/>
        <v>0</v>
      </c>
      <c r="AD13" s="65"/>
      <c r="AE13" s="74" t="s">
        <v>1943</v>
      </c>
      <c r="AF13" s="73">
        <f t="shared" si="50"/>
        <v>0</v>
      </c>
      <c r="AG13" s="65"/>
      <c r="AH13" s="74" t="s">
        <v>1942</v>
      </c>
      <c r="AI13" s="73">
        <f t="shared" si="50"/>
        <v>0</v>
      </c>
      <c r="AJ13" s="65"/>
      <c r="AK13" s="74" t="s">
        <v>1943</v>
      </c>
      <c r="AL13" s="73">
        <f t="shared" si="50"/>
        <v>0</v>
      </c>
      <c r="AM13" s="65"/>
      <c r="AN13" s="74" t="s">
        <v>1942</v>
      </c>
      <c r="AO13" s="73">
        <f t="shared" si="50"/>
        <v>0</v>
      </c>
      <c r="AP13" s="65"/>
      <c r="AQ13" s="74" t="s">
        <v>1943</v>
      </c>
      <c r="AR13" s="73">
        <f t="shared" si="50"/>
        <v>0</v>
      </c>
      <c r="AS13" s="65"/>
      <c r="AT13" s="74" t="s">
        <v>1952</v>
      </c>
      <c r="AU13" s="73">
        <f t="shared" si="50"/>
        <v>0</v>
      </c>
      <c r="AV13" s="65"/>
      <c r="AW13" s="74" t="s">
        <v>1946</v>
      </c>
      <c r="AX13" s="73">
        <f t="shared" si="50"/>
        <v>0</v>
      </c>
      <c r="AY13" s="65"/>
      <c r="AZ13" s="74" t="s">
        <v>1946</v>
      </c>
      <c r="BA13" s="73">
        <f t="shared" si="50"/>
        <v>0</v>
      </c>
      <c r="BB13" s="65"/>
      <c r="BC13" s="74" t="s">
        <v>1954</v>
      </c>
      <c r="BD13" s="73">
        <f t="shared" si="50"/>
        <v>0</v>
      </c>
      <c r="BE13" s="65"/>
      <c r="BF13" s="74" t="s">
        <v>1946</v>
      </c>
      <c r="BG13" s="73">
        <f t="shared" si="50"/>
        <v>0</v>
      </c>
      <c r="BH13" s="65"/>
      <c r="BI13" s="74" t="s">
        <v>1952</v>
      </c>
      <c r="BJ13" s="73">
        <f t="shared" si="50"/>
        <v>0</v>
      </c>
      <c r="BK13" s="65"/>
      <c r="BL13" s="74" t="s">
        <v>1944</v>
      </c>
      <c r="BM13" s="73">
        <f t="shared" si="50"/>
        <v>0</v>
      </c>
      <c r="BN13" s="65"/>
      <c r="BO13" s="74" t="s">
        <v>1952</v>
      </c>
      <c r="BP13" s="73">
        <f t="shared" si="50"/>
        <v>0</v>
      </c>
      <c r="BQ13" s="65"/>
      <c r="BR13" s="74" t="s">
        <v>1946</v>
      </c>
      <c r="BS13" s="73">
        <f t="shared" si="50"/>
        <v>0</v>
      </c>
      <c r="BT13" s="65"/>
      <c r="BU13" s="74" t="s">
        <v>1946</v>
      </c>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5</v>
      </c>
      <c r="E14" s="111"/>
      <c r="F14" s="445">
        <f t="shared" si="47"/>
        <v>7</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2032</v>
      </c>
      <c r="Z14" s="73">
        <f t="shared" si="50"/>
        <v>0</v>
      </c>
      <c r="AA14" s="65"/>
      <c r="AB14" s="74" t="s">
        <v>1948</v>
      </c>
      <c r="AC14" s="73">
        <f t="shared" si="50"/>
        <v>0</v>
      </c>
      <c r="AD14" s="65"/>
      <c r="AE14" s="74" t="s">
        <v>2033</v>
      </c>
      <c r="AF14" s="73">
        <f t="shared" si="50"/>
        <v>0</v>
      </c>
      <c r="AG14" s="65"/>
      <c r="AH14" s="74" t="s">
        <v>1949</v>
      </c>
      <c r="AI14" s="73">
        <f t="shared" si="50"/>
        <v>0</v>
      </c>
      <c r="AJ14" s="65"/>
      <c r="AK14" s="74" t="s">
        <v>2155</v>
      </c>
      <c r="AL14" s="73">
        <f t="shared" si="50"/>
        <v>0</v>
      </c>
      <c r="AM14" s="65"/>
      <c r="AN14" s="74" t="s">
        <v>1950</v>
      </c>
      <c r="AO14" s="73">
        <f t="shared" si="50"/>
        <v>0</v>
      </c>
      <c r="AP14" s="65"/>
      <c r="AQ14" s="74" t="s">
        <v>2036</v>
      </c>
      <c r="AR14" s="73">
        <f t="shared" si="50"/>
        <v>0</v>
      </c>
      <c r="AS14" s="65"/>
      <c r="AT14" s="74" t="s">
        <v>2032</v>
      </c>
      <c r="AU14" s="73">
        <f t="shared" si="50"/>
        <v>0</v>
      </c>
      <c r="AV14" s="65"/>
      <c r="AW14" s="74" t="s">
        <v>2032</v>
      </c>
      <c r="AX14" s="73">
        <f t="shared" si="50"/>
        <v>0</v>
      </c>
      <c r="AY14" s="65"/>
      <c r="AZ14" s="74" t="s">
        <v>2036</v>
      </c>
      <c r="BA14" s="73">
        <f t="shared" si="50"/>
        <v>0</v>
      </c>
      <c r="BB14" s="65"/>
      <c r="BC14" s="74" t="s">
        <v>1953</v>
      </c>
      <c r="BD14" s="73">
        <f t="shared" si="50"/>
        <v>0</v>
      </c>
      <c r="BE14" s="65"/>
      <c r="BF14" s="74" t="s">
        <v>2036</v>
      </c>
      <c r="BG14" s="73">
        <f t="shared" si="50"/>
        <v>0</v>
      </c>
      <c r="BH14" s="65"/>
      <c r="BI14" s="74" t="s">
        <v>1953</v>
      </c>
      <c r="BJ14" s="73">
        <f t="shared" si="50"/>
        <v>0</v>
      </c>
      <c r="BK14" s="65"/>
      <c r="BL14" s="74" t="s">
        <v>2346</v>
      </c>
      <c r="BM14" s="73">
        <f t="shared" si="50"/>
        <v>0</v>
      </c>
      <c r="BN14" s="65"/>
      <c r="BO14" s="74" t="s">
        <v>1953</v>
      </c>
      <c r="BP14" s="73">
        <f t="shared" si="50"/>
        <v>0</v>
      </c>
      <c r="BQ14" s="65"/>
      <c r="BR14" s="74" t="s">
        <v>2036</v>
      </c>
      <c r="BS14" s="73">
        <f t="shared" si="50"/>
        <v>0</v>
      </c>
      <c r="BT14" s="65"/>
      <c r="BU14" s="74" t="s">
        <v>2036</v>
      </c>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10</v>
      </c>
      <c r="E15" s="111"/>
      <c r="F15" s="445">
        <f t="shared" si="47"/>
        <v>7</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1942</v>
      </c>
      <c r="T15" s="73">
        <f t="shared" si="48"/>
        <v>0</v>
      </c>
      <c r="U15" s="65"/>
      <c r="V15" s="74" t="s">
        <v>1952</v>
      </c>
      <c r="W15" s="73">
        <f t="shared" si="49"/>
        <v>0</v>
      </c>
      <c r="X15" s="65"/>
      <c r="Y15" s="74" t="s">
        <v>1944</v>
      </c>
      <c r="Z15" s="73">
        <f t="shared" si="50"/>
        <v>0</v>
      </c>
      <c r="AA15" s="65"/>
      <c r="AB15" s="74" t="s">
        <v>1942</v>
      </c>
      <c r="AC15" s="73">
        <f t="shared" si="50"/>
        <v>0</v>
      </c>
      <c r="AD15" s="65"/>
      <c r="AE15" s="74" t="s">
        <v>1949</v>
      </c>
      <c r="AF15" s="73">
        <f t="shared" si="50"/>
        <v>0</v>
      </c>
      <c r="AG15" s="65"/>
      <c r="AH15" s="74" t="s">
        <v>1942</v>
      </c>
      <c r="AI15" s="73">
        <f t="shared" si="50"/>
        <v>0</v>
      </c>
      <c r="AJ15" s="65"/>
      <c r="AK15" s="74" t="s">
        <v>1944</v>
      </c>
      <c r="AL15" s="73">
        <f t="shared" si="50"/>
        <v>0</v>
      </c>
      <c r="AM15" s="65"/>
      <c r="AN15" s="74" t="s">
        <v>1942</v>
      </c>
      <c r="AO15" s="73">
        <f t="shared" si="50"/>
        <v>0</v>
      </c>
      <c r="AP15" s="65"/>
      <c r="AQ15" s="74" t="s">
        <v>1946</v>
      </c>
      <c r="AR15" s="73">
        <f t="shared" si="50"/>
        <v>0</v>
      </c>
      <c r="AS15" s="65"/>
      <c r="AT15" s="74" t="s">
        <v>1944</v>
      </c>
      <c r="AU15" s="73">
        <f t="shared" si="50"/>
        <v>0</v>
      </c>
      <c r="AV15" s="65"/>
      <c r="AW15" s="74" t="s">
        <v>1946</v>
      </c>
      <c r="AX15" s="73">
        <f t="shared" si="50"/>
        <v>0</v>
      </c>
      <c r="AY15" s="65"/>
      <c r="AZ15" s="74" t="s">
        <v>1945</v>
      </c>
      <c r="BA15" s="73">
        <f t="shared" si="50"/>
        <v>0</v>
      </c>
      <c r="BB15" s="65"/>
      <c r="BC15" s="74" t="s">
        <v>1943</v>
      </c>
      <c r="BD15" s="73">
        <f t="shared" si="50"/>
        <v>0</v>
      </c>
      <c r="BE15" s="65"/>
      <c r="BF15" s="74" t="s">
        <v>1942</v>
      </c>
      <c r="BG15" s="73">
        <f t="shared" si="50"/>
        <v>0</v>
      </c>
      <c r="BH15" s="65"/>
      <c r="BI15" s="74" t="s">
        <v>1952</v>
      </c>
      <c r="BJ15" s="73">
        <f t="shared" si="50"/>
        <v>0</v>
      </c>
      <c r="BK15" s="65"/>
      <c r="BL15" s="74" t="s">
        <v>1946</v>
      </c>
      <c r="BM15" s="73">
        <f t="shared" si="50"/>
        <v>0</v>
      </c>
      <c r="BN15" s="65"/>
      <c r="BO15" s="74" t="s">
        <v>1942</v>
      </c>
      <c r="BP15" s="73">
        <f t="shared" si="50"/>
        <v>0</v>
      </c>
      <c r="BQ15" s="65"/>
      <c r="BR15" s="74" t="s">
        <v>1942</v>
      </c>
      <c r="BS15" s="73">
        <f t="shared" si="50"/>
        <v>0</v>
      </c>
      <c r="BT15" s="65"/>
      <c r="BU15" s="74" t="s">
        <v>1942</v>
      </c>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21</v>
      </c>
      <c r="G16" s="445">
        <f ca="1">VLOOKUP(H16,Equipos!$Q$1:$R$25,2,0)</f>
        <v>5</v>
      </c>
      <c r="H16" s="446">
        <f ca="1">TRUNC(INDEX(WORLDCUP!$X$4:$X$147,MATCH(ADMIN!K16,WORLDCUP!$DT$4:$DT$147,0))+INDEX(Horarios!$R$3:$R$86,MATCH(Horarios!$C$3,Horarios!$P$3:$P$86,0))/24)</f>
        <v>46188</v>
      </c>
      <c r="I16" s="48">
        <v>3</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1942</v>
      </c>
      <c r="T16" s="73">
        <f t="shared" si="48"/>
        <v>0</v>
      </c>
      <c r="U16" s="65"/>
      <c r="V16" s="74" t="s">
        <v>1944</v>
      </c>
      <c r="W16" s="73">
        <f t="shared" si="49"/>
        <v>0</v>
      </c>
      <c r="X16" s="65"/>
      <c r="Y16" s="74" t="s">
        <v>1949</v>
      </c>
      <c r="Z16" s="73">
        <f t="shared" si="50"/>
        <v>0</v>
      </c>
      <c r="AA16" s="65"/>
      <c r="AB16" s="74" t="s">
        <v>1942</v>
      </c>
      <c r="AC16" s="73">
        <f t="shared" si="50"/>
        <v>0</v>
      </c>
      <c r="AD16" s="65"/>
      <c r="AE16" s="74" t="s">
        <v>1948</v>
      </c>
      <c r="AF16" s="73">
        <f t="shared" si="50"/>
        <v>0</v>
      </c>
      <c r="AG16" s="65"/>
      <c r="AH16" s="74" t="s">
        <v>1948</v>
      </c>
      <c r="AI16" s="73">
        <f t="shared" si="50"/>
        <v>0</v>
      </c>
      <c r="AJ16" s="65"/>
      <c r="AK16" s="74" t="s">
        <v>1944</v>
      </c>
      <c r="AL16" s="73">
        <f t="shared" si="50"/>
        <v>0</v>
      </c>
      <c r="AM16" s="65"/>
      <c r="AN16" s="74" t="s">
        <v>1942</v>
      </c>
      <c r="AO16" s="73">
        <f t="shared" si="50"/>
        <v>0</v>
      </c>
      <c r="AP16" s="65"/>
      <c r="AQ16" s="74" t="s">
        <v>1944</v>
      </c>
      <c r="AR16" s="73">
        <f t="shared" si="50"/>
        <v>0</v>
      </c>
      <c r="AS16" s="65"/>
      <c r="AT16" s="74" t="s">
        <v>1954</v>
      </c>
      <c r="AU16" s="73">
        <f t="shared" si="50"/>
        <v>0</v>
      </c>
      <c r="AV16" s="65"/>
      <c r="AW16" s="74" t="s">
        <v>1948</v>
      </c>
      <c r="AX16" s="73">
        <f t="shared" si="50"/>
        <v>0</v>
      </c>
      <c r="AY16" s="65"/>
      <c r="AZ16" s="74" t="s">
        <v>1942</v>
      </c>
      <c r="BA16" s="73">
        <f t="shared" si="50"/>
        <v>0</v>
      </c>
      <c r="BB16" s="65"/>
      <c r="BC16" s="74" t="s">
        <v>1952</v>
      </c>
      <c r="BD16" s="73">
        <f t="shared" si="50"/>
        <v>0</v>
      </c>
      <c r="BE16" s="65"/>
      <c r="BF16" s="74" t="s">
        <v>1942</v>
      </c>
      <c r="BG16" s="73">
        <f t="shared" si="50"/>
        <v>0</v>
      </c>
      <c r="BH16" s="65"/>
      <c r="BI16" s="74" t="s">
        <v>1952</v>
      </c>
      <c r="BJ16" s="73">
        <f t="shared" si="50"/>
        <v>0</v>
      </c>
      <c r="BK16" s="65"/>
      <c r="BL16" s="74" t="s">
        <v>1949</v>
      </c>
      <c r="BM16" s="73">
        <f t="shared" si="50"/>
        <v>0</v>
      </c>
      <c r="BN16" s="65"/>
      <c r="BO16" s="74" t="s">
        <v>1942</v>
      </c>
      <c r="BP16" s="73">
        <f t="shared" si="50"/>
        <v>0</v>
      </c>
      <c r="BQ16" s="65"/>
      <c r="BR16" s="74" t="s">
        <v>1948</v>
      </c>
      <c r="BS16" s="73">
        <f t="shared" si="50"/>
        <v>0</v>
      </c>
      <c r="BT16" s="65"/>
      <c r="BU16" s="74" t="s">
        <v>1948</v>
      </c>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5</v>
      </c>
      <c r="E17" s="111"/>
      <c r="F17" s="445">
        <f t="shared" si="47"/>
        <v>7</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1948</v>
      </c>
      <c r="T17" s="73">
        <f t="shared" si="48"/>
        <v>0</v>
      </c>
      <c r="U17" s="65"/>
      <c r="V17" s="74" t="s">
        <v>1949</v>
      </c>
      <c r="W17" s="73">
        <f t="shared" si="49"/>
        <v>0</v>
      </c>
      <c r="X17" s="65"/>
      <c r="Y17" s="74" t="s">
        <v>1941</v>
      </c>
      <c r="Z17" s="73">
        <f t="shared" si="50"/>
        <v>0</v>
      </c>
      <c r="AA17" s="65"/>
      <c r="AB17" s="74" t="s">
        <v>1948</v>
      </c>
      <c r="AC17" s="73">
        <f t="shared" si="50"/>
        <v>0</v>
      </c>
      <c r="AD17" s="65"/>
      <c r="AE17" s="74" t="s">
        <v>1949</v>
      </c>
      <c r="AF17" s="73">
        <f t="shared" si="50"/>
        <v>0</v>
      </c>
      <c r="AG17" s="65"/>
      <c r="AH17" s="74" t="s">
        <v>1949</v>
      </c>
      <c r="AI17" s="73">
        <f t="shared" si="50"/>
        <v>0</v>
      </c>
      <c r="AJ17" s="65"/>
      <c r="AK17" s="74" t="s">
        <v>1948</v>
      </c>
      <c r="AL17" s="73">
        <f t="shared" si="50"/>
        <v>0</v>
      </c>
      <c r="AM17" s="65"/>
      <c r="AN17" s="74" t="s">
        <v>1949</v>
      </c>
      <c r="AO17" s="73">
        <f t="shared" si="50"/>
        <v>0</v>
      </c>
      <c r="AP17" s="65"/>
      <c r="AQ17" s="74" t="s">
        <v>1942</v>
      </c>
      <c r="AR17" s="73">
        <f t="shared" si="50"/>
        <v>0</v>
      </c>
      <c r="AS17" s="65"/>
      <c r="AT17" s="74" t="s">
        <v>1945</v>
      </c>
      <c r="AU17" s="73">
        <f t="shared" si="50"/>
        <v>0</v>
      </c>
      <c r="AV17" s="65"/>
      <c r="AW17" s="74" t="s">
        <v>1945</v>
      </c>
      <c r="AX17" s="73">
        <f t="shared" si="50"/>
        <v>0</v>
      </c>
      <c r="AY17" s="65"/>
      <c r="AZ17" s="74" t="s">
        <v>1942</v>
      </c>
      <c r="BA17" s="73">
        <f t="shared" si="50"/>
        <v>0</v>
      </c>
      <c r="BB17" s="65"/>
      <c r="BC17" s="74" t="s">
        <v>1948</v>
      </c>
      <c r="BD17" s="73">
        <f t="shared" si="50"/>
        <v>0</v>
      </c>
      <c r="BE17" s="65"/>
      <c r="BF17" s="74" t="s">
        <v>1942</v>
      </c>
      <c r="BG17" s="73">
        <f t="shared" si="50"/>
        <v>0</v>
      </c>
      <c r="BH17" s="65"/>
      <c r="BI17" s="74" t="s">
        <v>1945</v>
      </c>
      <c r="BJ17" s="73">
        <f t="shared" si="50"/>
        <v>0</v>
      </c>
      <c r="BK17" s="65"/>
      <c r="BL17" s="74" t="s">
        <v>1941</v>
      </c>
      <c r="BM17" s="73">
        <f t="shared" si="50"/>
        <v>0</v>
      </c>
      <c r="BN17" s="65"/>
      <c r="BO17" s="74" t="s">
        <v>1942</v>
      </c>
      <c r="BP17" s="73">
        <f t="shared" si="50"/>
        <v>0</v>
      </c>
      <c r="BQ17" s="65"/>
      <c r="BR17" s="74" t="s">
        <v>1942</v>
      </c>
      <c r="BS17" s="73">
        <f t="shared" si="50"/>
        <v>0</v>
      </c>
      <c r="BT17" s="65"/>
      <c r="BU17" s="74" t="s">
        <v>1945</v>
      </c>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10</v>
      </c>
      <c r="E18" s="111"/>
      <c r="F18" s="445">
        <f t="shared" si="47"/>
        <v>7</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1941</v>
      </c>
      <c r="W18" s="73">
        <f t="shared" si="49"/>
        <v>0</v>
      </c>
      <c r="X18" s="65"/>
      <c r="Y18" s="74" t="s">
        <v>1948</v>
      </c>
      <c r="Z18" s="73">
        <f t="shared" si="50"/>
        <v>0</v>
      </c>
      <c r="AA18" s="65"/>
      <c r="AB18" s="74" t="s">
        <v>1948</v>
      </c>
      <c r="AC18" s="73">
        <f t="shared" si="50"/>
        <v>0</v>
      </c>
      <c r="AD18" s="65"/>
      <c r="AE18" s="74" t="s">
        <v>1947</v>
      </c>
      <c r="AF18" s="73">
        <f t="shared" si="50"/>
        <v>0</v>
      </c>
      <c r="AG18" s="65"/>
      <c r="AH18" s="74" t="s">
        <v>1948</v>
      </c>
      <c r="AI18" s="73">
        <f t="shared" si="50"/>
        <v>0</v>
      </c>
      <c r="AJ18" s="65"/>
      <c r="AK18" s="74" t="s">
        <v>1945</v>
      </c>
      <c r="AL18" s="73">
        <f t="shared" si="50"/>
        <v>0</v>
      </c>
      <c r="AM18" s="65"/>
      <c r="AN18" s="74" t="s">
        <v>1949</v>
      </c>
      <c r="AO18" s="73">
        <f t="shared" si="50"/>
        <v>0</v>
      </c>
      <c r="AP18" s="65"/>
      <c r="AQ18" s="74" t="s">
        <v>1942</v>
      </c>
      <c r="AR18" s="73">
        <f t="shared" si="50"/>
        <v>0</v>
      </c>
      <c r="AS18" s="65"/>
      <c r="AT18" s="74" t="s">
        <v>1942</v>
      </c>
      <c r="AU18" s="73">
        <f t="shared" si="50"/>
        <v>0</v>
      </c>
      <c r="AV18" s="65"/>
      <c r="AW18" s="74" t="s">
        <v>1945</v>
      </c>
      <c r="AX18" s="73">
        <f t="shared" si="50"/>
        <v>0</v>
      </c>
      <c r="AY18" s="65"/>
      <c r="AZ18" s="74" t="s">
        <v>1948</v>
      </c>
      <c r="BA18" s="73">
        <f t="shared" si="50"/>
        <v>0</v>
      </c>
      <c r="BB18" s="65"/>
      <c r="BC18" s="74" t="s">
        <v>1954</v>
      </c>
      <c r="BD18" s="73">
        <f t="shared" si="50"/>
        <v>0</v>
      </c>
      <c r="BE18" s="65"/>
      <c r="BF18" s="74" t="s">
        <v>1949</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1945</v>
      </c>
      <c r="BJ18" s="73">
        <f t="shared" si="52"/>
        <v>0</v>
      </c>
      <c r="BK18" s="65"/>
      <c r="BL18" s="74" t="s">
        <v>1948</v>
      </c>
      <c r="BM18" s="73">
        <f t="shared" si="52"/>
        <v>0</v>
      </c>
      <c r="BN18" s="65"/>
      <c r="BO18" s="74" t="s">
        <v>1945</v>
      </c>
      <c r="BP18" s="73">
        <f t="shared" si="52"/>
        <v>0</v>
      </c>
      <c r="BQ18" s="65"/>
      <c r="BR18" s="74" t="s">
        <v>1949</v>
      </c>
      <c r="BS18" s="73">
        <f t="shared" si="52"/>
        <v>0</v>
      </c>
      <c r="BT18" s="65"/>
      <c r="BU18" s="74" t="s">
        <v>1948</v>
      </c>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15</v>
      </c>
      <c r="E19" s="111"/>
      <c r="F19" s="445">
        <f t="shared" si="47"/>
        <v>7</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1949</v>
      </c>
      <c r="T19" s="73">
        <f t="shared" si="48"/>
        <v>0</v>
      </c>
      <c r="U19" s="65"/>
      <c r="V19" s="74" t="s">
        <v>1945</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1942</v>
      </c>
      <c r="AF19" s="73">
        <f t="shared" si="53"/>
        <v>0</v>
      </c>
      <c r="AG19" s="65"/>
      <c r="AH19" s="74" t="s">
        <v>1949</v>
      </c>
      <c r="AI19" s="73">
        <f t="shared" si="53"/>
        <v>0</v>
      </c>
      <c r="AJ19" s="65"/>
      <c r="AK19" s="74" t="s">
        <v>1948</v>
      </c>
      <c r="AL19" s="73">
        <f t="shared" si="53"/>
        <v>0</v>
      </c>
      <c r="AM19" s="65"/>
      <c r="AN19" s="74" t="s">
        <v>1942</v>
      </c>
      <c r="AO19" s="73">
        <f t="shared" si="53"/>
        <v>0</v>
      </c>
      <c r="AP19" s="65"/>
      <c r="AQ19" s="74" t="s">
        <v>1942</v>
      </c>
      <c r="AR19" s="73">
        <f t="shared" si="53"/>
        <v>0</v>
      </c>
      <c r="AS19" s="65"/>
      <c r="AT19" s="74" t="s">
        <v>1955</v>
      </c>
      <c r="AU19" s="73">
        <f t="shared" si="53"/>
        <v>0</v>
      </c>
      <c r="AV19" s="65"/>
      <c r="AW19" s="74" t="s">
        <v>1954</v>
      </c>
      <c r="AX19" s="73">
        <f t="shared" si="53"/>
        <v>0</v>
      </c>
      <c r="AY19" s="65"/>
      <c r="AZ19" s="74" t="s">
        <v>1942</v>
      </c>
      <c r="BA19" s="73">
        <f t="shared" si="53"/>
        <v>0</v>
      </c>
      <c r="BB19" s="65"/>
      <c r="BC19" s="74" t="s">
        <v>1945</v>
      </c>
      <c r="BD19" s="73">
        <f t="shared" si="53"/>
        <v>0</v>
      </c>
      <c r="BE19" s="65"/>
      <c r="BF19" s="74" t="s">
        <v>1945</v>
      </c>
      <c r="BG19" s="73">
        <f t="shared" si="53"/>
        <v>0</v>
      </c>
      <c r="BH19" s="65"/>
      <c r="BI19" s="74" t="s">
        <v>1949</v>
      </c>
      <c r="BJ19" s="73">
        <f t="shared" si="53"/>
        <v>0</v>
      </c>
      <c r="BK19" s="65"/>
      <c r="BL19" s="74" t="s">
        <v>1941</v>
      </c>
      <c r="BM19" s="73">
        <f t="shared" si="53"/>
        <v>0</v>
      </c>
      <c r="BN19" s="65"/>
      <c r="BO19" s="74" t="s">
        <v>1950</v>
      </c>
      <c r="BP19" s="73">
        <f t="shared" si="53"/>
        <v>0</v>
      </c>
      <c r="BQ19" s="65"/>
      <c r="BR19" s="74" t="s">
        <v>1945</v>
      </c>
      <c r="BS19" s="73">
        <f t="shared" si="53"/>
        <v>0</v>
      </c>
      <c r="BT19" s="65"/>
      <c r="BU19" s="74" t="s">
        <v>1949</v>
      </c>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5</v>
      </c>
      <c r="E20" s="111"/>
      <c r="F20" s="445">
        <f t="shared" si="47"/>
        <v>21</v>
      </c>
      <c r="G20" s="445">
        <f ca="1">VLOOKUP(H20,Equipos!$Q$1:$R$25,2,0)</f>
        <v>5</v>
      </c>
      <c r="H20" s="446">
        <f ca="1">TRUNC(INDEX(WORLDCUP!$X$4:$X$147,MATCH(ADMIN!K20,WORLDCUP!$DT$4:$DT$147,0))+INDEX(Horarios!$R$3:$R$86,MATCH(Horarios!$C$3,Horarios!$P$3:$P$86,0))/24)</f>
        <v>46188</v>
      </c>
      <c r="I20" s="48">
        <v>3</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1950</v>
      </c>
      <c r="T20" s="73">
        <f t="shared" si="48"/>
        <v>0</v>
      </c>
      <c r="U20" s="65"/>
      <c r="V20" s="74" t="s">
        <v>1947</v>
      </c>
      <c r="W20" s="73">
        <f t="shared" si="49"/>
        <v>0</v>
      </c>
      <c r="X20" s="65"/>
      <c r="Y20" s="74" t="s">
        <v>2033</v>
      </c>
      <c r="Z20" s="73">
        <f t="shared" si="53"/>
        <v>0</v>
      </c>
      <c r="AA20" s="65"/>
      <c r="AB20" s="74" t="s">
        <v>1948</v>
      </c>
      <c r="AC20" s="73">
        <f t="shared" si="53"/>
        <v>0</v>
      </c>
      <c r="AD20" s="65"/>
      <c r="AE20" s="74" t="s">
        <v>1947</v>
      </c>
      <c r="AF20" s="73">
        <f t="shared" si="53"/>
        <v>0</v>
      </c>
      <c r="AG20" s="65"/>
      <c r="AH20" s="74" t="s">
        <v>1949</v>
      </c>
      <c r="AI20" s="73">
        <f t="shared" si="53"/>
        <v>0</v>
      </c>
      <c r="AJ20" s="65"/>
      <c r="AK20" s="74" t="s">
        <v>1947</v>
      </c>
      <c r="AL20" s="73">
        <f t="shared" si="53"/>
        <v>0</v>
      </c>
      <c r="AM20" s="65"/>
      <c r="AN20" s="74" t="s">
        <v>1942</v>
      </c>
      <c r="AO20" s="73">
        <f t="shared" si="53"/>
        <v>0</v>
      </c>
      <c r="AP20" s="65"/>
      <c r="AQ20" s="74" t="s">
        <v>2036</v>
      </c>
      <c r="AR20" s="73">
        <f t="shared" si="53"/>
        <v>0</v>
      </c>
      <c r="AS20" s="65"/>
      <c r="AT20" s="74" t="s">
        <v>1950</v>
      </c>
      <c r="AU20" s="73">
        <f t="shared" si="53"/>
        <v>0</v>
      </c>
      <c r="AV20" s="65"/>
      <c r="AW20" s="74" t="s">
        <v>2037</v>
      </c>
      <c r="AX20" s="73">
        <f t="shared" si="53"/>
        <v>0</v>
      </c>
      <c r="AY20" s="65"/>
      <c r="AZ20" s="74" t="s">
        <v>2036</v>
      </c>
      <c r="BA20" s="73">
        <f t="shared" si="53"/>
        <v>0</v>
      </c>
      <c r="BB20" s="65"/>
      <c r="BC20" s="74" t="s">
        <v>1950</v>
      </c>
      <c r="BD20" s="73">
        <f t="shared" si="53"/>
        <v>0</v>
      </c>
      <c r="BE20" s="65"/>
      <c r="BF20" s="74" t="s">
        <v>1950</v>
      </c>
      <c r="BG20" s="73">
        <f t="shared" si="53"/>
        <v>0</v>
      </c>
      <c r="BH20" s="65"/>
      <c r="BI20" s="74" t="s">
        <v>1950</v>
      </c>
      <c r="BJ20" s="73">
        <f t="shared" si="53"/>
        <v>0</v>
      </c>
      <c r="BK20" s="65"/>
      <c r="BL20" s="74" t="s">
        <v>1953</v>
      </c>
      <c r="BM20" s="73">
        <f t="shared" si="53"/>
        <v>0</v>
      </c>
      <c r="BN20" s="65"/>
      <c r="BO20" s="74" t="s">
        <v>2036</v>
      </c>
      <c r="BP20" s="73">
        <f t="shared" si="53"/>
        <v>0</v>
      </c>
      <c r="BQ20" s="65"/>
      <c r="BR20" s="74" t="s">
        <v>1950</v>
      </c>
      <c r="BS20" s="73">
        <f t="shared" si="53"/>
        <v>0</v>
      </c>
      <c r="BT20" s="65"/>
      <c r="BU20" s="74" t="s">
        <v>1950</v>
      </c>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10</v>
      </c>
      <c r="E21" s="111"/>
      <c r="F21" s="445">
        <f t="shared" si="47"/>
        <v>7</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1946</v>
      </c>
      <c r="T21" s="73">
        <f t="shared" si="48"/>
        <v>0</v>
      </c>
      <c r="U21" s="65"/>
      <c r="V21" s="74" t="s">
        <v>1946</v>
      </c>
      <c r="W21" s="73">
        <f t="shared" si="49"/>
        <v>0</v>
      </c>
      <c r="X21" s="65"/>
      <c r="Y21" s="74" t="s">
        <v>1946</v>
      </c>
      <c r="Z21" s="73">
        <f t="shared" si="53"/>
        <v>0</v>
      </c>
      <c r="AA21" s="65"/>
      <c r="AB21" s="74" t="s">
        <v>1946</v>
      </c>
      <c r="AC21" s="73">
        <f t="shared" si="53"/>
        <v>0</v>
      </c>
      <c r="AD21" s="65"/>
      <c r="AE21" s="74" t="s">
        <v>1946</v>
      </c>
      <c r="AF21" s="73">
        <f t="shared" si="53"/>
        <v>0</v>
      </c>
      <c r="AG21" s="65"/>
      <c r="AH21" s="74" t="s">
        <v>1942</v>
      </c>
      <c r="AI21" s="73">
        <f t="shared" si="53"/>
        <v>0</v>
      </c>
      <c r="AJ21" s="65"/>
      <c r="AK21" s="74" t="s">
        <v>1955</v>
      </c>
      <c r="AL21" s="73">
        <f t="shared" si="53"/>
        <v>0</v>
      </c>
      <c r="AM21" s="65"/>
      <c r="AN21" s="74" t="s">
        <v>1943</v>
      </c>
      <c r="AO21" s="73">
        <f t="shared" si="53"/>
        <v>0</v>
      </c>
      <c r="AP21" s="65"/>
      <c r="AQ21" s="74" t="s">
        <v>1946</v>
      </c>
      <c r="AR21" s="73">
        <f t="shared" si="53"/>
        <v>0</v>
      </c>
      <c r="AS21" s="65"/>
      <c r="AT21" s="74" t="s">
        <v>1943</v>
      </c>
      <c r="AU21" s="73">
        <f t="shared" si="53"/>
        <v>0</v>
      </c>
      <c r="AV21" s="65"/>
      <c r="AW21" s="74" t="s">
        <v>1952</v>
      </c>
      <c r="AX21" s="73">
        <f t="shared" si="53"/>
        <v>0</v>
      </c>
      <c r="AY21" s="65"/>
      <c r="AZ21" s="74" t="s">
        <v>1946</v>
      </c>
      <c r="BA21" s="73">
        <f t="shared" si="53"/>
        <v>0</v>
      </c>
      <c r="BB21" s="65"/>
      <c r="BC21" s="74" t="s">
        <v>1946</v>
      </c>
      <c r="BD21" s="73">
        <f t="shared" si="53"/>
        <v>0</v>
      </c>
      <c r="BE21" s="65"/>
      <c r="BF21" s="74" t="s">
        <v>1943</v>
      </c>
      <c r="BG21" s="73">
        <f t="shared" si="53"/>
        <v>0</v>
      </c>
      <c r="BH21" s="65"/>
      <c r="BI21" s="74" t="s">
        <v>1943</v>
      </c>
      <c r="BJ21" s="73">
        <f t="shared" si="53"/>
        <v>0</v>
      </c>
      <c r="BK21" s="65"/>
      <c r="BL21" s="74" t="s">
        <v>1943</v>
      </c>
      <c r="BM21" s="73">
        <f t="shared" si="53"/>
        <v>0</v>
      </c>
      <c r="BN21" s="65"/>
      <c r="BO21" s="74" t="s">
        <v>1942</v>
      </c>
      <c r="BP21" s="73">
        <f t="shared" si="53"/>
        <v>0</v>
      </c>
      <c r="BQ21" s="65"/>
      <c r="BR21" s="74" t="s">
        <v>1943</v>
      </c>
      <c r="BS21" s="73">
        <f t="shared" si="53"/>
        <v>0</v>
      </c>
      <c r="BT21" s="65"/>
      <c r="BU21" s="74" t="s">
        <v>1943</v>
      </c>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15</v>
      </c>
      <c r="E22" s="111"/>
      <c r="F22" s="445">
        <f t="shared" si="47"/>
        <v>7</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1948</v>
      </c>
      <c r="T22" s="73">
        <f t="shared" si="48"/>
        <v>0</v>
      </c>
      <c r="U22" s="65"/>
      <c r="V22" s="74" t="s">
        <v>1941</v>
      </c>
      <c r="W22" s="73">
        <f t="shared" si="49"/>
        <v>0</v>
      </c>
      <c r="X22" s="65"/>
      <c r="Y22" s="74" t="s">
        <v>1941</v>
      </c>
      <c r="Z22" s="73">
        <f t="shared" si="53"/>
        <v>0</v>
      </c>
      <c r="AA22" s="65"/>
      <c r="AB22" s="74" t="s">
        <v>1942</v>
      </c>
      <c r="AC22" s="73">
        <f t="shared" si="53"/>
        <v>0</v>
      </c>
      <c r="AD22" s="65"/>
      <c r="AE22" s="74" t="s">
        <v>1950</v>
      </c>
      <c r="AF22" s="73">
        <f t="shared" si="53"/>
        <v>0</v>
      </c>
      <c r="AG22" s="65"/>
      <c r="AH22" s="74" t="s">
        <v>1948</v>
      </c>
      <c r="AI22" s="73">
        <f t="shared" si="53"/>
        <v>0</v>
      </c>
      <c r="AJ22" s="65"/>
      <c r="AK22" s="74" t="s">
        <v>1948</v>
      </c>
      <c r="AL22" s="73">
        <f t="shared" si="53"/>
        <v>0</v>
      </c>
      <c r="AM22" s="65"/>
      <c r="AN22" s="74" t="s">
        <v>1948</v>
      </c>
      <c r="AO22" s="73">
        <f t="shared" si="53"/>
        <v>0</v>
      </c>
      <c r="AP22" s="65"/>
      <c r="AQ22" s="74" t="s">
        <v>1948</v>
      </c>
      <c r="AR22" s="73">
        <f t="shared" si="53"/>
        <v>0</v>
      </c>
      <c r="AS22" s="65"/>
      <c r="AT22" s="74" t="s">
        <v>1942</v>
      </c>
      <c r="AU22" s="73">
        <f t="shared" si="53"/>
        <v>0</v>
      </c>
      <c r="AV22" s="65"/>
      <c r="AW22" s="74" t="s">
        <v>1948</v>
      </c>
      <c r="AX22" s="73">
        <f t="shared" si="53"/>
        <v>0</v>
      </c>
      <c r="AY22" s="65"/>
      <c r="AZ22" s="74" t="s">
        <v>1948</v>
      </c>
      <c r="BA22" s="73">
        <f t="shared" si="53"/>
        <v>0</v>
      </c>
      <c r="BB22" s="65"/>
      <c r="BC22" s="74" t="s">
        <v>1942</v>
      </c>
      <c r="BD22" s="73">
        <f t="shared" si="53"/>
        <v>0</v>
      </c>
      <c r="BE22" s="65"/>
      <c r="BF22" s="74" t="s">
        <v>1942</v>
      </c>
      <c r="BG22" s="73">
        <f t="shared" si="53"/>
        <v>0</v>
      </c>
      <c r="BH22" s="65"/>
      <c r="BI22" s="74" t="s">
        <v>1942</v>
      </c>
      <c r="BJ22" s="73">
        <f t="shared" si="53"/>
        <v>0</v>
      </c>
      <c r="BK22" s="65"/>
      <c r="BL22" s="74" t="s">
        <v>1997</v>
      </c>
      <c r="BM22" s="73">
        <f t="shared" si="53"/>
        <v>0</v>
      </c>
      <c r="BN22" s="65"/>
      <c r="BO22" s="74" t="s">
        <v>1945</v>
      </c>
      <c r="BP22" s="73">
        <f t="shared" si="53"/>
        <v>0</v>
      </c>
      <c r="BQ22" s="65"/>
      <c r="BR22" s="74" t="s">
        <v>1948</v>
      </c>
      <c r="BS22" s="73">
        <f t="shared" si="53"/>
        <v>0</v>
      </c>
      <c r="BT22" s="65"/>
      <c r="BU22" s="74" t="s">
        <v>1948</v>
      </c>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20</v>
      </c>
      <c r="E23" s="111"/>
      <c r="F23" s="445">
        <f t="shared" si="47"/>
        <v>7</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1951</v>
      </c>
      <c r="T23" s="73">
        <f t="shared" si="48"/>
        <v>0</v>
      </c>
      <c r="U23" s="65"/>
      <c r="V23" s="74" t="s">
        <v>1995</v>
      </c>
      <c r="W23" s="73">
        <f t="shared" si="49"/>
        <v>0</v>
      </c>
      <c r="X23" s="65"/>
      <c r="Y23" s="74" t="s">
        <v>2034</v>
      </c>
      <c r="Z23" s="73">
        <f t="shared" si="53"/>
        <v>0</v>
      </c>
      <c r="AA23" s="65"/>
      <c r="AB23" s="74" t="s">
        <v>1946</v>
      </c>
      <c r="AC23" s="73">
        <f t="shared" si="53"/>
        <v>0</v>
      </c>
      <c r="AD23" s="65"/>
      <c r="AE23" s="74" t="s">
        <v>1946</v>
      </c>
      <c r="AF23" s="73">
        <f t="shared" si="53"/>
        <v>0</v>
      </c>
      <c r="AG23" s="65"/>
      <c r="AH23" s="74" t="s">
        <v>1943</v>
      </c>
      <c r="AI23" s="73">
        <f t="shared" si="53"/>
        <v>0</v>
      </c>
      <c r="AJ23" s="65"/>
      <c r="AK23" s="74" t="s">
        <v>1951</v>
      </c>
      <c r="AL23" s="73">
        <f t="shared" si="53"/>
        <v>0</v>
      </c>
      <c r="AM23" s="65"/>
      <c r="AN23" s="74" t="s">
        <v>1942</v>
      </c>
      <c r="AO23" s="73">
        <f t="shared" si="53"/>
        <v>0</v>
      </c>
      <c r="AP23" s="65"/>
      <c r="AQ23" s="74" t="s">
        <v>1943</v>
      </c>
      <c r="AR23" s="73">
        <f t="shared" si="53"/>
        <v>0</v>
      </c>
      <c r="AS23" s="65"/>
      <c r="AT23" s="74" t="s">
        <v>1943</v>
      </c>
      <c r="AU23" s="73">
        <f t="shared" si="53"/>
        <v>0</v>
      </c>
      <c r="AV23" s="65"/>
      <c r="AW23" s="74" t="s">
        <v>1952</v>
      </c>
      <c r="AX23" s="73">
        <f t="shared" si="53"/>
        <v>0</v>
      </c>
      <c r="AY23" s="65"/>
      <c r="AZ23" s="74" t="s">
        <v>1943</v>
      </c>
      <c r="BA23" s="73">
        <f t="shared" si="53"/>
        <v>0</v>
      </c>
      <c r="BB23" s="65"/>
      <c r="BC23" s="74" t="s">
        <v>2365</v>
      </c>
      <c r="BD23" s="73">
        <f t="shared" si="53"/>
        <v>0</v>
      </c>
      <c r="BE23" s="65"/>
      <c r="BF23" s="74" t="s">
        <v>1955</v>
      </c>
      <c r="BG23" s="73">
        <f t="shared" si="53"/>
        <v>0</v>
      </c>
      <c r="BH23" s="65"/>
      <c r="BI23" s="74" t="s">
        <v>1952</v>
      </c>
      <c r="BJ23" s="73">
        <f t="shared" si="53"/>
        <v>0</v>
      </c>
      <c r="BK23" s="65"/>
      <c r="BL23" s="74" t="s">
        <v>1951</v>
      </c>
      <c r="BM23" s="73">
        <f t="shared" si="53"/>
        <v>0</v>
      </c>
      <c r="BN23" s="65"/>
      <c r="BO23" s="74" t="s">
        <v>1952</v>
      </c>
      <c r="BP23" s="73">
        <f t="shared" si="53"/>
        <v>0</v>
      </c>
      <c r="BQ23" s="65"/>
      <c r="BR23" s="74" t="s">
        <v>1943</v>
      </c>
      <c r="BS23" s="73">
        <f t="shared" si="53"/>
        <v>0</v>
      </c>
      <c r="BT23" s="65"/>
      <c r="BU23" s="74" t="s">
        <v>1943</v>
      </c>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10</v>
      </c>
      <c r="E24" s="111"/>
      <c r="F24" s="445">
        <f t="shared" si="47"/>
        <v>7</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1948</v>
      </c>
      <c r="T24" s="77">
        <f t="shared" si="48"/>
        <v>0</v>
      </c>
      <c r="U24" s="65"/>
      <c r="V24" s="76" t="s">
        <v>1949</v>
      </c>
      <c r="W24" s="77">
        <f t="shared" si="49"/>
        <v>0</v>
      </c>
      <c r="X24" s="65"/>
      <c r="Y24" s="76" t="s">
        <v>1941</v>
      </c>
      <c r="Z24" s="77">
        <f t="shared" si="53"/>
        <v>0</v>
      </c>
      <c r="AA24" s="65"/>
      <c r="AB24" s="76" t="s">
        <v>1948</v>
      </c>
      <c r="AC24" s="77">
        <f t="shared" si="53"/>
        <v>0</v>
      </c>
      <c r="AD24" s="65"/>
      <c r="AE24" s="76" t="s">
        <v>1941</v>
      </c>
      <c r="AF24" s="77">
        <f t="shared" si="53"/>
        <v>0</v>
      </c>
      <c r="AG24" s="65"/>
      <c r="AH24" s="76" t="s">
        <v>1942</v>
      </c>
      <c r="AI24" s="77">
        <f t="shared" si="53"/>
        <v>0</v>
      </c>
      <c r="AJ24" s="65"/>
      <c r="AK24" s="76" t="s">
        <v>1949</v>
      </c>
      <c r="AL24" s="77">
        <f t="shared" si="53"/>
        <v>0</v>
      </c>
      <c r="AM24" s="65"/>
      <c r="AN24" s="76" t="s">
        <v>1946</v>
      </c>
      <c r="AO24" s="77">
        <f t="shared" si="53"/>
        <v>0</v>
      </c>
      <c r="AP24" s="65"/>
      <c r="AQ24" s="76" t="s">
        <v>1949</v>
      </c>
      <c r="AR24" s="77">
        <f t="shared" si="53"/>
        <v>0</v>
      </c>
      <c r="AS24" s="65"/>
      <c r="AT24" s="76" t="s">
        <v>1945</v>
      </c>
      <c r="AU24" s="77">
        <f t="shared" si="53"/>
        <v>0</v>
      </c>
      <c r="AV24" s="65"/>
      <c r="AW24" s="76" t="s">
        <v>1949</v>
      </c>
      <c r="AX24" s="77">
        <f t="shared" si="53"/>
        <v>0</v>
      </c>
      <c r="AY24" s="65"/>
      <c r="AZ24" s="76" t="s">
        <v>1949</v>
      </c>
      <c r="BA24" s="77">
        <f t="shared" si="53"/>
        <v>0</v>
      </c>
      <c r="BB24" s="65"/>
      <c r="BC24" s="76" t="s">
        <v>1948</v>
      </c>
      <c r="BD24" s="77">
        <f t="shared" si="53"/>
        <v>0</v>
      </c>
      <c r="BE24" s="65"/>
      <c r="BF24" s="76" t="s">
        <v>1949</v>
      </c>
      <c r="BG24" s="77">
        <f t="shared" si="53"/>
        <v>0</v>
      </c>
      <c r="BH24" s="65"/>
      <c r="BI24" s="76" t="s">
        <v>1945</v>
      </c>
      <c r="BJ24" s="77">
        <f t="shared" si="53"/>
        <v>0</v>
      </c>
      <c r="BK24" s="65"/>
      <c r="BL24" s="76" t="s">
        <v>1949</v>
      </c>
      <c r="BM24" s="77">
        <f t="shared" si="53"/>
        <v>0</v>
      </c>
      <c r="BN24" s="65"/>
      <c r="BO24" s="76" t="s">
        <v>1949</v>
      </c>
      <c r="BP24" s="77">
        <f t="shared" si="53"/>
        <v>0</v>
      </c>
      <c r="BQ24" s="65"/>
      <c r="BR24" s="76" t="s">
        <v>1949</v>
      </c>
      <c r="BS24" s="77">
        <f t="shared" si="53"/>
        <v>0</v>
      </c>
      <c r="BT24" s="65"/>
      <c r="BU24" s="76" t="s">
        <v>1949</v>
      </c>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15</v>
      </c>
      <c r="E25" s="111"/>
      <c r="F25" s="445">
        <f t="shared" si="47"/>
        <v>7</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1945</v>
      </c>
      <c r="T25" s="73">
        <f t="shared" si="48"/>
        <v>0</v>
      </c>
      <c r="U25" s="65"/>
      <c r="V25" s="74" t="s">
        <v>1949</v>
      </c>
      <c r="W25" s="73">
        <f t="shared" si="49"/>
        <v>0</v>
      </c>
      <c r="X25" s="65"/>
      <c r="Y25" s="74" t="s">
        <v>1949</v>
      </c>
      <c r="Z25" s="73">
        <f t="shared" si="53"/>
        <v>0</v>
      </c>
      <c r="AA25" s="65"/>
      <c r="AB25" s="74" t="s">
        <v>1945</v>
      </c>
      <c r="AC25" s="73">
        <f t="shared" si="53"/>
        <v>0</v>
      </c>
      <c r="AD25" s="65"/>
      <c r="AE25" s="74" t="s">
        <v>1949</v>
      </c>
      <c r="AF25" s="73">
        <f t="shared" si="53"/>
        <v>0</v>
      </c>
      <c r="AG25" s="65"/>
      <c r="AH25" s="74" t="s">
        <v>1949</v>
      </c>
      <c r="AI25" s="73">
        <f t="shared" si="53"/>
        <v>0</v>
      </c>
      <c r="AJ25" s="65"/>
      <c r="AK25" s="74" t="s">
        <v>1950</v>
      </c>
      <c r="AL25" s="73">
        <f t="shared" si="53"/>
        <v>0</v>
      </c>
      <c r="AM25" s="65"/>
      <c r="AN25" s="74" t="s">
        <v>1942</v>
      </c>
      <c r="AO25" s="73">
        <f t="shared" si="53"/>
        <v>0</v>
      </c>
      <c r="AP25" s="65"/>
      <c r="AQ25" s="74" t="s">
        <v>1949</v>
      </c>
      <c r="AR25" s="73">
        <f t="shared" si="53"/>
        <v>0</v>
      </c>
      <c r="AS25" s="65"/>
      <c r="AT25" s="74" t="s">
        <v>1954</v>
      </c>
      <c r="AU25" s="73">
        <f t="shared" si="53"/>
        <v>0</v>
      </c>
      <c r="AV25" s="65"/>
      <c r="AW25" s="74" t="s">
        <v>1949</v>
      </c>
      <c r="AX25" s="73">
        <f t="shared" si="53"/>
        <v>0</v>
      </c>
      <c r="AY25" s="65"/>
      <c r="AZ25" s="74" t="s">
        <v>1945</v>
      </c>
      <c r="BA25" s="73">
        <f t="shared" si="53"/>
        <v>0</v>
      </c>
      <c r="BB25" s="65"/>
      <c r="BC25" s="74" t="s">
        <v>1949</v>
      </c>
      <c r="BD25" s="73">
        <f t="shared" si="53"/>
        <v>0</v>
      </c>
      <c r="BE25" s="65"/>
      <c r="BF25" s="74" t="s">
        <v>1948</v>
      </c>
      <c r="BG25" s="73">
        <f t="shared" si="53"/>
        <v>0</v>
      </c>
      <c r="BH25" s="65"/>
      <c r="BI25" s="74" t="s">
        <v>1945</v>
      </c>
      <c r="BJ25" s="73">
        <f t="shared" si="53"/>
        <v>0</v>
      </c>
      <c r="BK25" s="65"/>
      <c r="BL25" s="74" t="s">
        <v>1942</v>
      </c>
      <c r="BM25" s="73">
        <f t="shared" si="53"/>
        <v>0</v>
      </c>
      <c r="BN25" s="65"/>
      <c r="BO25" s="74" t="s">
        <v>1949</v>
      </c>
      <c r="BP25" s="73">
        <f t="shared" si="53"/>
        <v>0</v>
      </c>
      <c r="BQ25" s="65"/>
      <c r="BR25" s="74" t="s">
        <v>1949</v>
      </c>
      <c r="BS25" s="73">
        <f t="shared" si="53"/>
        <v>0</v>
      </c>
      <c r="BT25" s="65"/>
      <c r="BU25" s="74" t="s">
        <v>1949</v>
      </c>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20</v>
      </c>
      <c r="E26" s="111"/>
      <c r="F26" s="445">
        <f t="shared" si="47"/>
        <v>7</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1950</v>
      </c>
      <c r="T26" s="73">
        <f t="shared" si="48"/>
        <v>0</v>
      </c>
      <c r="U26" s="65"/>
      <c r="V26" s="74" t="s">
        <v>1950</v>
      </c>
      <c r="W26" s="73">
        <f t="shared" si="49"/>
        <v>0</v>
      </c>
      <c r="X26" s="65"/>
      <c r="Y26" s="74" t="s">
        <v>1941</v>
      </c>
      <c r="Z26" s="73">
        <f t="shared" si="53"/>
        <v>0</v>
      </c>
      <c r="AA26" s="65"/>
      <c r="AB26" s="74" t="s">
        <v>1948</v>
      </c>
      <c r="AC26" s="73">
        <f t="shared" si="53"/>
        <v>0</v>
      </c>
      <c r="AD26" s="65"/>
      <c r="AE26" s="74" t="s">
        <v>2033</v>
      </c>
      <c r="AF26" s="73">
        <f t="shared" si="53"/>
        <v>0</v>
      </c>
      <c r="AG26" s="65"/>
      <c r="AH26" s="74" t="s">
        <v>1949</v>
      </c>
      <c r="AI26" s="73">
        <f t="shared" si="53"/>
        <v>0</v>
      </c>
      <c r="AJ26" s="65"/>
      <c r="AK26" s="74" t="s">
        <v>1953</v>
      </c>
      <c r="AL26" s="73">
        <f t="shared" si="53"/>
        <v>0</v>
      </c>
      <c r="AM26" s="65"/>
      <c r="AN26" s="74" t="s">
        <v>1950</v>
      </c>
      <c r="AO26" s="73">
        <f t="shared" si="53"/>
        <v>0</v>
      </c>
      <c r="AP26" s="65"/>
      <c r="AQ26" s="74" t="s">
        <v>1950</v>
      </c>
      <c r="AR26" s="73">
        <f t="shared" si="53"/>
        <v>0</v>
      </c>
      <c r="AS26" s="65"/>
      <c r="AT26" s="74" t="s">
        <v>1945</v>
      </c>
      <c r="AU26" s="73">
        <f t="shared" si="53"/>
        <v>0</v>
      </c>
      <c r="AV26" s="65"/>
      <c r="AW26" s="74" t="s">
        <v>1953</v>
      </c>
      <c r="AX26" s="73">
        <f t="shared" si="53"/>
        <v>0</v>
      </c>
      <c r="AY26" s="65"/>
      <c r="AZ26" s="74" t="s">
        <v>1949</v>
      </c>
      <c r="BA26" s="73">
        <f t="shared" si="53"/>
        <v>0</v>
      </c>
      <c r="BB26" s="65"/>
      <c r="BC26" s="74" t="s">
        <v>1948</v>
      </c>
      <c r="BD26" s="73">
        <f t="shared" si="53"/>
        <v>0</v>
      </c>
      <c r="BE26" s="65"/>
      <c r="BF26" s="74" t="s">
        <v>1949</v>
      </c>
      <c r="BG26" s="73">
        <f t="shared" si="53"/>
        <v>0</v>
      </c>
      <c r="BH26" s="65"/>
      <c r="BI26" s="74" t="s">
        <v>1942</v>
      </c>
      <c r="BJ26" s="73">
        <f t="shared" si="53"/>
        <v>0</v>
      </c>
      <c r="BK26" s="65"/>
      <c r="BL26" s="74" t="s">
        <v>2036</v>
      </c>
      <c r="BM26" s="73">
        <f t="shared" si="53"/>
        <v>0</v>
      </c>
      <c r="BN26" s="65"/>
      <c r="BO26" s="74" t="s">
        <v>1945</v>
      </c>
      <c r="BP26" s="73">
        <f t="shared" si="53"/>
        <v>0</v>
      </c>
      <c r="BQ26" s="65"/>
      <c r="BR26" s="74" t="s">
        <v>1950</v>
      </c>
      <c r="BS26" s="73">
        <f t="shared" si="53"/>
        <v>0</v>
      </c>
      <c r="BT26" s="65"/>
      <c r="BU26" s="74" t="s">
        <v>1941</v>
      </c>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25</v>
      </c>
      <c r="E27" s="111"/>
      <c r="F27" s="445">
        <f t="shared" si="47"/>
        <v>7</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1952</v>
      </c>
      <c r="T27" s="73">
        <f t="shared" si="48"/>
        <v>0</v>
      </c>
      <c r="U27" s="65"/>
      <c r="V27" s="74" t="s">
        <v>1955</v>
      </c>
      <c r="W27" s="73">
        <f t="shared" si="49"/>
        <v>0</v>
      </c>
      <c r="X27" s="65"/>
      <c r="Y27" s="74" t="s">
        <v>1995</v>
      </c>
      <c r="Z27" s="73">
        <f t="shared" si="53"/>
        <v>0</v>
      </c>
      <c r="AA27" s="65"/>
      <c r="AB27" s="74" t="s">
        <v>1946</v>
      </c>
      <c r="AC27" s="73">
        <f t="shared" si="53"/>
        <v>0</v>
      </c>
      <c r="AD27" s="65"/>
      <c r="AE27" s="74" t="s">
        <v>1951</v>
      </c>
      <c r="AF27" s="73">
        <f t="shared" si="53"/>
        <v>0</v>
      </c>
      <c r="AG27" s="65"/>
      <c r="AH27" s="74" t="s">
        <v>1943</v>
      </c>
      <c r="AI27" s="73">
        <f t="shared" si="53"/>
        <v>0</v>
      </c>
      <c r="AJ27" s="65"/>
      <c r="AK27" s="74" t="s">
        <v>1951</v>
      </c>
      <c r="AL27" s="73">
        <f t="shared" si="53"/>
        <v>0</v>
      </c>
      <c r="AM27" s="65"/>
      <c r="AN27" s="74" t="s">
        <v>1946</v>
      </c>
      <c r="AO27" s="73">
        <f t="shared" si="53"/>
        <v>0</v>
      </c>
      <c r="AP27" s="65"/>
      <c r="AQ27" s="74" t="s">
        <v>1946</v>
      </c>
      <c r="AR27" s="73">
        <f t="shared" si="53"/>
        <v>0</v>
      </c>
      <c r="AS27" s="65"/>
      <c r="AT27" s="74" t="s">
        <v>1952</v>
      </c>
      <c r="AU27" s="73">
        <f t="shared" si="53"/>
        <v>0</v>
      </c>
      <c r="AV27" s="65"/>
      <c r="AW27" s="74" t="s">
        <v>1952</v>
      </c>
      <c r="AX27" s="73">
        <f t="shared" si="53"/>
        <v>0</v>
      </c>
      <c r="AY27" s="65"/>
      <c r="AZ27" s="74" t="s">
        <v>1952</v>
      </c>
      <c r="BA27" s="73">
        <f t="shared" si="53"/>
        <v>0</v>
      </c>
      <c r="BB27" s="65"/>
      <c r="BC27" s="74" t="s">
        <v>1954</v>
      </c>
      <c r="BD27" s="73">
        <f t="shared" si="53"/>
        <v>0</v>
      </c>
      <c r="BE27" s="65"/>
      <c r="BF27" s="74" t="s">
        <v>1943</v>
      </c>
      <c r="BG27" s="73">
        <f t="shared" si="53"/>
        <v>0</v>
      </c>
      <c r="BH27" s="65"/>
      <c r="BI27" s="74" t="s">
        <v>1952</v>
      </c>
      <c r="BJ27" s="73">
        <f t="shared" si="53"/>
        <v>0</v>
      </c>
      <c r="BK27" s="65"/>
      <c r="BL27" s="74" t="s">
        <v>1943</v>
      </c>
      <c r="BM27" s="73">
        <f t="shared" si="53"/>
        <v>0</v>
      </c>
      <c r="BN27" s="65"/>
      <c r="BO27" s="74" t="s">
        <v>1952</v>
      </c>
      <c r="BP27" s="73">
        <f t="shared" si="53"/>
        <v>0</v>
      </c>
      <c r="BQ27" s="65"/>
      <c r="BR27" s="74" t="s">
        <v>1946</v>
      </c>
      <c r="BS27" s="73">
        <f t="shared" si="53"/>
        <v>0</v>
      </c>
      <c r="BT27" s="65"/>
      <c r="BU27" s="74" t="s">
        <v>1943</v>
      </c>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15</v>
      </c>
      <c r="E28" s="111"/>
      <c r="F28" s="445">
        <f t="shared" si="47"/>
        <v>21</v>
      </c>
      <c r="G28" s="445">
        <f ca="1">VLOOKUP(H28,Equipos!$Q$1:$R$25,2,0)</f>
        <v>8</v>
      </c>
      <c r="H28" s="446">
        <f ca="1">TRUNC(INDEX(WORLDCUP!$X$4:$X$147,MATCH(ADMIN!K28,WORLDCUP!$DT$4:$DT$147,0))+INDEX(Horarios!$R$3:$R$86,MATCH(Horarios!$C$3,Horarios!$P$3:$P$86,0))/24)</f>
        <v>46191</v>
      </c>
      <c r="I28" s="48">
        <v>3</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1942</v>
      </c>
      <c r="W28" s="73">
        <f t="shared" si="49"/>
        <v>0</v>
      </c>
      <c r="X28" s="65"/>
      <c r="Y28" s="74" t="s">
        <v>1948</v>
      </c>
      <c r="Z28" s="73">
        <f t="shared" si="53"/>
        <v>0</v>
      </c>
      <c r="AA28" s="65"/>
      <c r="AB28" s="74" t="s">
        <v>1948</v>
      </c>
      <c r="AC28" s="73">
        <f t="shared" si="53"/>
        <v>0</v>
      </c>
      <c r="AD28" s="65"/>
      <c r="AE28" s="74" t="s">
        <v>1944</v>
      </c>
      <c r="AF28" s="73">
        <f t="shared" si="53"/>
        <v>0</v>
      </c>
      <c r="AG28" s="65"/>
      <c r="AH28" s="74" t="s">
        <v>1948</v>
      </c>
      <c r="AI28" s="73">
        <f t="shared" si="53"/>
        <v>0</v>
      </c>
      <c r="AJ28" s="65"/>
      <c r="AK28" s="74" t="s">
        <v>1942</v>
      </c>
      <c r="AL28" s="73">
        <f t="shared" si="53"/>
        <v>0</v>
      </c>
      <c r="AM28" s="65"/>
      <c r="AN28" s="74" t="s">
        <v>1946</v>
      </c>
      <c r="AO28" s="73">
        <f t="shared" si="53"/>
        <v>0</v>
      </c>
      <c r="AP28" s="65"/>
      <c r="AQ28" s="74" t="s">
        <v>1944</v>
      </c>
      <c r="AR28" s="73">
        <f t="shared" si="53"/>
        <v>0</v>
      </c>
      <c r="AS28" s="65"/>
      <c r="AT28" s="74" t="s">
        <v>1954</v>
      </c>
      <c r="AU28" s="73">
        <f t="shared" si="53"/>
        <v>0</v>
      </c>
      <c r="AV28" s="65"/>
      <c r="AW28" s="74" t="s">
        <v>1942</v>
      </c>
      <c r="AX28" s="73">
        <f t="shared" si="53"/>
        <v>0</v>
      </c>
      <c r="AY28" s="65"/>
      <c r="AZ28" s="74" t="s">
        <v>1948</v>
      </c>
      <c r="BA28" s="73">
        <f t="shared" si="53"/>
        <v>0</v>
      </c>
      <c r="BB28" s="65"/>
      <c r="BC28" s="74" t="s">
        <v>1942</v>
      </c>
      <c r="BD28" s="73">
        <f t="shared" si="53"/>
        <v>0</v>
      </c>
      <c r="BE28" s="65"/>
      <c r="BF28" s="74" t="s">
        <v>1945</v>
      </c>
      <c r="BG28" s="73">
        <f t="shared" si="53"/>
        <v>0</v>
      </c>
      <c r="BH28" s="65"/>
      <c r="BI28" s="74" t="s">
        <v>1945</v>
      </c>
      <c r="BJ28" s="73">
        <f t="shared" si="53"/>
        <v>0</v>
      </c>
      <c r="BK28" s="65"/>
      <c r="BL28" s="74" t="s">
        <v>1941</v>
      </c>
      <c r="BM28" s="73">
        <f t="shared" si="53"/>
        <v>0</v>
      </c>
      <c r="BN28" s="65"/>
      <c r="BO28" s="74" t="s">
        <v>1948</v>
      </c>
      <c r="BP28" s="73">
        <f t="shared" si="53"/>
        <v>0</v>
      </c>
      <c r="BQ28" s="65"/>
      <c r="BR28" s="74" t="s">
        <v>1948</v>
      </c>
      <c r="BS28" s="73">
        <f t="shared" si="53"/>
        <v>0</v>
      </c>
      <c r="BT28" s="65"/>
      <c r="BU28" s="74" t="s">
        <v>1948</v>
      </c>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20</v>
      </c>
      <c r="E29" s="111"/>
      <c r="F29" s="445">
        <f t="shared" si="47"/>
        <v>7</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1942</v>
      </c>
      <c r="T29" s="79">
        <f t="shared" si="54"/>
        <v>0</v>
      </c>
      <c r="U29" s="65"/>
      <c r="V29" s="78" t="s">
        <v>1946</v>
      </c>
      <c r="W29" s="79">
        <f t="shared" si="49"/>
        <v>0</v>
      </c>
      <c r="X29" s="65"/>
      <c r="Y29" s="78" t="s">
        <v>1949</v>
      </c>
      <c r="Z29" s="79">
        <f t="shared" si="53"/>
        <v>0</v>
      </c>
      <c r="AA29" s="65"/>
      <c r="AB29" s="78" t="s">
        <v>1942</v>
      </c>
      <c r="AC29" s="79">
        <f t="shared" si="53"/>
        <v>0</v>
      </c>
      <c r="AD29" s="65"/>
      <c r="AE29" s="78" t="s">
        <v>1946</v>
      </c>
      <c r="AF29" s="79">
        <f t="shared" si="53"/>
        <v>0</v>
      </c>
      <c r="AG29" s="65"/>
      <c r="AH29" s="78" t="s">
        <v>1949</v>
      </c>
      <c r="AI29" s="79">
        <f t="shared" si="53"/>
        <v>0</v>
      </c>
      <c r="AJ29" s="65"/>
      <c r="AK29" s="78" t="s">
        <v>1942</v>
      </c>
      <c r="AL29" s="79">
        <f t="shared" si="53"/>
        <v>0</v>
      </c>
      <c r="AM29" s="65"/>
      <c r="AN29" s="78" t="s">
        <v>1942</v>
      </c>
      <c r="AO29" s="79">
        <f t="shared" si="53"/>
        <v>0</v>
      </c>
      <c r="AP29" s="65"/>
      <c r="AQ29" s="78" t="s">
        <v>1942</v>
      </c>
      <c r="AR29" s="79">
        <f t="shared" si="53"/>
        <v>0</v>
      </c>
      <c r="AS29" s="65"/>
      <c r="AT29" s="78" t="s">
        <v>1945</v>
      </c>
      <c r="AU29" s="79">
        <f t="shared" si="53"/>
        <v>0</v>
      </c>
      <c r="AV29" s="65"/>
      <c r="AW29" s="78" t="s">
        <v>1945</v>
      </c>
      <c r="AX29" s="79">
        <f t="shared" si="53"/>
        <v>0</v>
      </c>
      <c r="AY29" s="65"/>
      <c r="AZ29" s="78" t="s">
        <v>1945</v>
      </c>
      <c r="BA29" s="79">
        <f t="shared" si="53"/>
        <v>0</v>
      </c>
      <c r="BB29" s="65"/>
      <c r="BC29" s="78" t="s">
        <v>1949</v>
      </c>
      <c r="BD29" s="79">
        <f t="shared" si="53"/>
        <v>0</v>
      </c>
      <c r="BE29" s="65"/>
      <c r="BF29" s="78" t="s">
        <v>1942</v>
      </c>
      <c r="BG29" s="79">
        <f t="shared" si="53"/>
        <v>0</v>
      </c>
      <c r="BH29" s="65"/>
      <c r="BI29" s="78" t="s">
        <v>1945</v>
      </c>
      <c r="BJ29" s="79">
        <f t="shared" si="53"/>
        <v>0</v>
      </c>
      <c r="BK29" s="65"/>
      <c r="BL29" s="78" t="s">
        <v>1954</v>
      </c>
      <c r="BM29" s="79">
        <f t="shared" si="53"/>
        <v>0</v>
      </c>
      <c r="BN29" s="65"/>
      <c r="BO29" s="78" t="s">
        <v>1949</v>
      </c>
      <c r="BP29" s="79">
        <f t="shared" si="53"/>
        <v>0</v>
      </c>
      <c r="BQ29" s="65"/>
      <c r="BR29" s="78" t="s">
        <v>1948</v>
      </c>
      <c r="BS29" s="79">
        <f t="shared" si="53"/>
        <v>0</v>
      </c>
      <c r="BT29" s="65"/>
      <c r="BU29" s="78" t="s">
        <v>1948</v>
      </c>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25</v>
      </c>
      <c r="E30" s="111"/>
      <c r="F30" s="445">
        <f t="shared" si="47"/>
        <v>7</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1945</v>
      </c>
      <c r="T30" s="77">
        <f t="shared" si="54"/>
        <v>0</v>
      </c>
      <c r="U30" s="65"/>
      <c r="V30" s="76" t="s">
        <v>1942</v>
      </c>
      <c r="W30" s="77">
        <f t="shared" si="49"/>
        <v>0</v>
      </c>
      <c r="X30" s="65"/>
      <c r="Y30" s="76" t="s">
        <v>1949</v>
      </c>
      <c r="Z30" s="77">
        <f t="shared" si="53"/>
        <v>0</v>
      </c>
      <c r="AA30" s="65"/>
      <c r="AB30" s="76" t="s">
        <v>1952</v>
      </c>
      <c r="AC30" s="77">
        <f t="shared" si="53"/>
        <v>0</v>
      </c>
      <c r="AD30" s="65"/>
      <c r="AE30" s="76" t="s">
        <v>1994</v>
      </c>
      <c r="AF30" s="77">
        <f t="shared" si="53"/>
        <v>0</v>
      </c>
      <c r="AG30" s="65"/>
      <c r="AH30" s="76" t="s">
        <v>1949</v>
      </c>
      <c r="AI30" s="77">
        <f t="shared" si="53"/>
        <v>0</v>
      </c>
      <c r="AJ30" s="65"/>
      <c r="AK30" s="76" t="s">
        <v>1997</v>
      </c>
      <c r="AL30" s="77">
        <f t="shared" si="53"/>
        <v>0</v>
      </c>
      <c r="AM30" s="65"/>
      <c r="AN30" s="76" t="s">
        <v>1942</v>
      </c>
      <c r="AO30" s="77">
        <f t="shared" si="53"/>
        <v>0</v>
      </c>
      <c r="AP30" s="65"/>
      <c r="AQ30" s="76" t="s">
        <v>1949</v>
      </c>
      <c r="AR30" s="77">
        <f t="shared" si="53"/>
        <v>0</v>
      </c>
      <c r="AS30" s="65"/>
      <c r="AT30" s="76" t="s">
        <v>1945</v>
      </c>
      <c r="AU30" s="77">
        <f t="shared" si="53"/>
        <v>0</v>
      </c>
      <c r="AV30" s="65"/>
      <c r="AW30" s="76" t="s">
        <v>1945</v>
      </c>
      <c r="AX30" s="77">
        <f t="shared" si="53"/>
        <v>0</v>
      </c>
      <c r="AY30" s="65"/>
      <c r="AZ30" s="76" t="s">
        <v>1948</v>
      </c>
      <c r="BA30" s="77">
        <f t="shared" si="53"/>
        <v>0</v>
      </c>
      <c r="BB30" s="65"/>
      <c r="BC30" s="76" t="s">
        <v>1949</v>
      </c>
      <c r="BD30" s="77">
        <f t="shared" si="53"/>
        <v>0</v>
      </c>
      <c r="BE30" s="65"/>
      <c r="BF30" s="76" t="s">
        <v>1945</v>
      </c>
      <c r="BG30" s="77">
        <f t="shared" si="53"/>
        <v>0</v>
      </c>
      <c r="BH30" s="65"/>
      <c r="BI30" s="76" t="s">
        <v>1949</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1954</v>
      </c>
      <c r="BM30" s="77">
        <f t="shared" si="55"/>
        <v>0</v>
      </c>
      <c r="BN30" s="65"/>
      <c r="BO30" s="76" t="s">
        <v>1942</v>
      </c>
      <c r="BP30" s="77">
        <f t="shared" si="55"/>
        <v>0</v>
      </c>
      <c r="BQ30" s="65"/>
      <c r="BR30" s="76" t="s">
        <v>1948</v>
      </c>
      <c r="BS30" s="77">
        <f t="shared" si="55"/>
        <v>0</v>
      </c>
      <c r="BT30" s="65"/>
      <c r="BU30" s="76" t="s">
        <v>1948</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30</v>
      </c>
      <c r="E31" s="111"/>
      <c r="F31" s="445">
        <f t="shared" si="47"/>
        <v>7</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1944</v>
      </c>
      <c r="T31" s="73">
        <f t="shared" si="54"/>
        <v>0</v>
      </c>
      <c r="U31" s="65"/>
      <c r="V31" s="74" t="s">
        <v>1944</v>
      </c>
      <c r="W31" s="73">
        <f t="shared" si="49"/>
        <v>0</v>
      </c>
      <c r="X31" s="65"/>
      <c r="Y31" s="74" t="s">
        <v>1948</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1942</v>
      </c>
      <c r="AC31" s="73">
        <f t="shared" si="56"/>
        <v>0</v>
      </c>
      <c r="AD31" s="65"/>
      <c r="AE31" s="74" t="s">
        <v>1948</v>
      </c>
      <c r="AF31" s="73">
        <f t="shared" si="56"/>
        <v>0</v>
      </c>
      <c r="AG31" s="65"/>
      <c r="AH31" s="74" t="s">
        <v>1942</v>
      </c>
      <c r="AI31" s="73">
        <f t="shared" si="56"/>
        <v>0</v>
      </c>
      <c r="AJ31" s="65"/>
      <c r="AK31" s="74" t="s">
        <v>1949</v>
      </c>
      <c r="AL31" s="73">
        <f t="shared" si="56"/>
        <v>0</v>
      </c>
      <c r="AM31" s="65"/>
      <c r="AN31" s="74" t="s">
        <v>1948</v>
      </c>
      <c r="AO31" s="73">
        <f t="shared" si="56"/>
        <v>0</v>
      </c>
      <c r="AP31" s="65"/>
      <c r="AQ31" s="74" t="s">
        <v>1942</v>
      </c>
      <c r="AR31" s="73">
        <f t="shared" si="56"/>
        <v>0</v>
      </c>
      <c r="AS31" s="65"/>
      <c r="AT31" s="74" t="s">
        <v>1945</v>
      </c>
      <c r="AU31" s="73">
        <f t="shared" si="56"/>
        <v>0</v>
      </c>
      <c r="AV31" s="65"/>
      <c r="AW31" s="74" t="s">
        <v>1942</v>
      </c>
      <c r="AX31" s="73">
        <f t="shared" si="56"/>
        <v>0</v>
      </c>
      <c r="AY31" s="65"/>
      <c r="AZ31" s="74" t="s">
        <v>1942</v>
      </c>
      <c r="BA31" s="73">
        <f t="shared" si="56"/>
        <v>0</v>
      </c>
      <c r="BB31" s="65"/>
      <c r="BC31" s="74" t="s">
        <v>1948</v>
      </c>
      <c r="BD31" s="73">
        <f t="shared" si="56"/>
        <v>0</v>
      </c>
      <c r="BE31" s="65"/>
      <c r="BF31" s="74" t="s">
        <v>1942</v>
      </c>
      <c r="BG31" s="73">
        <f t="shared" si="56"/>
        <v>0</v>
      </c>
      <c r="BH31" s="65"/>
      <c r="BI31" s="74" t="s">
        <v>1945</v>
      </c>
      <c r="BJ31" s="73">
        <f t="shared" si="56"/>
        <v>0</v>
      </c>
      <c r="BK31" s="65"/>
      <c r="BL31" s="74" t="s">
        <v>1944</v>
      </c>
      <c r="BM31" s="73">
        <f t="shared" si="56"/>
        <v>0</v>
      </c>
      <c r="BN31" s="65"/>
      <c r="BO31" s="74" t="s">
        <v>1945</v>
      </c>
      <c r="BP31" s="73">
        <f t="shared" si="56"/>
        <v>0</v>
      </c>
      <c r="BQ31" s="65"/>
      <c r="BR31" s="74" t="s">
        <v>1948</v>
      </c>
      <c r="BS31" s="73">
        <f t="shared" si="56"/>
        <v>0</v>
      </c>
      <c r="BT31" s="65"/>
      <c r="BU31" s="74" t="s">
        <v>1948</v>
      </c>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50</v>
      </c>
      <c r="E32" s="111"/>
      <c r="F32" s="445">
        <f t="shared" si="47"/>
        <v>7</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1948</v>
      </c>
      <c r="T32" s="73">
        <f t="shared" si="54"/>
        <v>0</v>
      </c>
      <c r="U32" s="65"/>
      <c r="V32" s="74" t="s">
        <v>1948</v>
      </c>
      <c r="W32" s="73">
        <f t="shared" si="49"/>
        <v>0</v>
      </c>
      <c r="X32" s="65"/>
      <c r="Y32" s="74" t="s">
        <v>1948</v>
      </c>
      <c r="Z32" s="73">
        <f t="shared" si="56"/>
        <v>0</v>
      </c>
      <c r="AA32" s="65"/>
      <c r="AB32" s="74" t="s">
        <v>1942</v>
      </c>
      <c r="AC32" s="73">
        <f t="shared" si="56"/>
        <v>0</v>
      </c>
      <c r="AD32" s="65"/>
      <c r="AE32" s="74" t="s">
        <v>1941</v>
      </c>
      <c r="AF32" s="73">
        <f t="shared" si="56"/>
        <v>0</v>
      </c>
      <c r="AG32" s="65"/>
      <c r="AH32" s="74" t="s">
        <v>1942</v>
      </c>
      <c r="AI32" s="73">
        <f t="shared" si="56"/>
        <v>0</v>
      </c>
      <c r="AJ32" s="65"/>
      <c r="AK32" s="74" t="s">
        <v>1942</v>
      </c>
      <c r="AL32" s="73">
        <f t="shared" si="56"/>
        <v>0</v>
      </c>
      <c r="AM32" s="65"/>
      <c r="AN32" s="74" t="s">
        <v>1948</v>
      </c>
      <c r="AO32" s="73">
        <f t="shared" si="56"/>
        <v>0</v>
      </c>
      <c r="AP32" s="65"/>
      <c r="AQ32" s="74" t="s">
        <v>1944</v>
      </c>
      <c r="AR32" s="73">
        <f t="shared" si="56"/>
        <v>0</v>
      </c>
      <c r="AS32" s="65"/>
      <c r="AT32" s="74" t="s">
        <v>1945</v>
      </c>
      <c r="AU32" s="73">
        <f t="shared" si="56"/>
        <v>0</v>
      </c>
      <c r="AV32" s="65"/>
      <c r="AW32" s="74" t="s">
        <v>1949</v>
      </c>
      <c r="AX32" s="73">
        <f t="shared" si="56"/>
        <v>0</v>
      </c>
      <c r="AY32" s="65"/>
      <c r="AZ32" s="74" t="s">
        <v>1948</v>
      </c>
      <c r="BA32" s="73">
        <f t="shared" si="56"/>
        <v>0</v>
      </c>
      <c r="BB32" s="65"/>
      <c r="BC32" s="74" t="s">
        <v>1944</v>
      </c>
      <c r="BD32" s="73">
        <f t="shared" si="56"/>
        <v>0</v>
      </c>
      <c r="BE32" s="65"/>
      <c r="BF32" s="74" t="s">
        <v>1948</v>
      </c>
      <c r="BG32" s="73">
        <f t="shared" si="56"/>
        <v>0</v>
      </c>
      <c r="BH32" s="65"/>
      <c r="BI32" s="74" t="s">
        <v>1945</v>
      </c>
      <c r="BJ32" s="73">
        <f t="shared" si="56"/>
        <v>0</v>
      </c>
      <c r="BK32" s="65"/>
      <c r="BL32" s="74" t="s">
        <v>1948</v>
      </c>
      <c r="BM32" s="73">
        <f t="shared" si="56"/>
        <v>0</v>
      </c>
      <c r="BN32" s="65"/>
      <c r="BO32" s="74" t="s">
        <v>1949</v>
      </c>
      <c r="BP32" s="73">
        <f t="shared" si="56"/>
        <v>0</v>
      </c>
      <c r="BQ32" s="65"/>
      <c r="BR32" s="74" t="s">
        <v>1948</v>
      </c>
      <c r="BS32" s="73">
        <f t="shared" si="56"/>
        <v>0</v>
      </c>
      <c r="BT32" s="65"/>
      <c r="BU32" s="74" t="s">
        <v>1949</v>
      </c>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25</v>
      </c>
      <c r="E33" s="111"/>
      <c r="F33" s="445">
        <f t="shared" si="47"/>
        <v>7</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1945</v>
      </c>
      <c r="T33" s="73">
        <f t="shared" si="54"/>
        <v>0</v>
      </c>
      <c r="U33" s="65"/>
      <c r="V33" s="74" t="s">
        <v>1941</v>
      </c>
      <c r="W33" s="73">
        <f t="shared" si="49"/>
        <v>0</v>
      </c>
      <c r="X33" s="65"/>
      <c r="Y33" s="74" t="s">
        <v>1949</v>
      </c>
      <c r="Z33" s="73">
        <f t="shared" si="56"/>
        <v>0</v>
      </c>
      <c r="AA33" s="65"/>
      <c r="AB33" s="74" t="s">
        <v>1945</v>
      </c>
      <c r="AC33" s="73">
        <f t="shared" si="56"/>
        <v>0</v>
      </c>
      <c r="AD33" s="65"/>
      <c r="AE33" s="74" t="s">
        <v>1942</v>
      </c>
      <c r="AF33" s="73">
        <f t="shared" si="56"/>
        <v>0</v>
      </c>
      <c r="AG33" s="65"/>
      <c r="AH33" s="74" t="s">
        <v>1949</v>
      </c>
      <c r="AI33" s="73">
        <f t="shared" si="56"/>
        <v>0</v>
      </c>
      <c r="AJ33" s="65"/>
      <c r="AK33" s="74" t="s">
        <v>1941</v>
      </c>
      <c r="AL33" s="73">
        <f t="shared" si="56"/>
        <v>0</v>
      </c>
      <c r="AM33" s="65"/>
      <c r="AN33" s="74" t="s">
        <v>1948</v>
      </c>
      <c r="AO33" s="73">
        <f t="shared" si="56"/>
        <v>0</v>
      </c>
      <c r="AP33" s="65"/>
      <c r="AQ33" s="74" t="s">
        <v>1942</v>
      </c>
      <c r="AR33" s="73">
        <f t="shared" si="56"/>
        <v>0</v>
      </c>
      <c r="AS33" s="65"/>
      <c r="AT33" s="74" t="s">
        <v>1945</v>
      </c>
      <c r="AU33" s="73">
        <f t="shared" si="56"/>
        <v>0</v>
      </c>
      <c r="AV33" s="65"/>
      <c r="AW33" s="74" t="s">
        <v>1949</v>
      </c>
      <c r="AX33" s="73">
        <f t="shared" si="56"/>
        <v>0</v>
      </c>
      <c r="AY33" s="65"/>
      <c r="AZ33" s="74" t="s">
        <v>1945</v>
      </c>
      <c r="BA33" s="73">
        <f t="shared" si="56"/>
        <v>0</v>
      </c>
      <c r="BB33" s="65"/>
      <c r="BC33" s="74" t="s">
        <v>1941</v>
      </c>
      <c r="BD33" s="73">
        <f t="shared" si="56"/>
        <v>0</v>
      </c>
      <c r="BE33" s="65"/>
      <c r="BF33" s="74" t="s">
        <v>1949</v>
      </c>
      <c r="BG33" s="73">
        <f t="shared" si="56"/>
        <v>0</v>
      </c>
      <c r="BH33" s="65"/>
      <c r="BI33" s="74" t="s">
        <v>1945</v>
      </c>
      <c r="BJ33" s="73">
        <f t="shared" si="56"/>
        <v>0</v>
      </c>
      <c r="BK33" s="65"/>
      <c r="BL33" s="74" t="s">
        <v>1942</v>
      </c>
      <c r="BM33" s="73">
        <f t="shared" si="56"/>
        <v>0</v>
      </c>
      <c r="BN33" s="65"/>
      <c r="BO33" s="74" t="s">
        <v>1942</v>
      </c>
      <c r="BP33" s="73">
        <f t="shared" si="56"/>
        <v>0</v>
      </c>
      <c r="BQ33" s="65"/>
      <c r="BR33" s="74" t="s">
        <v>1949</v>
      </c>
      <c r="BS33" s="73">
        <f t="shared" si="56"/>
        <v>0</v>
      </c>
      <c r="BT33" s="65"/>
      <c r="BU33" s="74" t="s">
        <v>1950</v>
      </c>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30</v>
      </c>
      <c r="E34" s="111"/>
      <c r="F34" s="445">
        <f t="shared" si="47"/>
        <v>7</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1942</v>
      </c>
      <c r="W34" s="73">
        <f t="shared" si="49"/>
        <v>0</v>
      </c>
      <c r="X34" s="65"/>
      <c r="Y34" s="74" t="s">
        <v>1942</v>
      </c>
      <c r="Z34" s="73">
        <f t="shared" si="56"/>
        <v>0</v>
      </c>
      <c r="AA34" s="65"/>
      <c r="AB34" s="74" t="s">
        <v>1952</v>
      </c>
      <c r="AC34" s="73">
        <f t="shared" si="56"/>
        <v>0</v>
      </c>
      <c r="AD34" s="65"/>
      <c r="AE34" s="74" t="s">
        <v>1946</v>
      </c>
      <c r="AF34" s="73">
        <f t="shared" si="56"/>
        <v>0</v>
      </c>
      <c r="AG34" s="65"/>
      <c r="AH34" s="74" t="s">
        <v>1943</v>
      </c>
      <c r="AI34" s="73">
        <f t="shared" si="56"/>
        <v>0</v>
      </c>
      <c r="AJ34" s="65"/>
      <c r="AK34" s="74" t="s">
        <v>1946</v>
      </c>
      <c r="AL34" s="73">
        <f t="shared" si="56"/>
        <v>0</v>
      </c>
      <c r="AM34" s="65"/>
      <c r="AN34" s="74" t="s">
        <v>1946</v>
      </c>
      <c r="AO34" s="73">
        <f t="shared" si="56"/>
        <v>0</v>
      </c>
      <c r="AP34" s="65"/>
      <c r="AQ34" s="74" t="s">
        <v>1946</v>
      </c>
      <c r="AR34" s="73">
        <f t="shared" si="56"/>
        <v>0</v>
      </c>
      <c r="AS34" s="65"/>
      <c r="AT34" s="74" t="s">
        <v>1946</v>
      </c>
      <c r="AU34" s="73">
        <f t="shared" si="56"/>
        <v>0</v>
      </c>
      <c r="AV34" s="65"/>
      <c r="AW34" s="74" t="s">
        <v>1944</v>
      </c>
      <c r="AX34" s="73">
        <f t="shared" si="56"/>
        <v>0</v>
      </c>
      <c r="AY34" s="65"/>
      <c r="AZ34" s="74" t="s">
        <v>1952</v>
      </c>
      <c r="BA34" s="73">
        <f t="shared" si="56"/>
        <v>0</v>
      </c>
      <c r="BB34" s="65"/>
      <c r="BC34" s="74" t="s">
        <v>1942</v>
      </c>
      <c r="BD34" s="73">
        <f t="shared" si="56"/>
        <v>0</v>
      </c>
      <c r="BE34" s="65"/>
      <c r="BF34" s="74" t="s">
        <v>1952</v>
      </c>
      <c r="BG34" s="73">
        <f t="shared" si="56"/>
        <v>0</v>
      </c>
      <c r="BH34" s="65"/>
      <c r="BI34" s="74" t="s">
        <v>1952</v>
      </c>
      <c r="BJ34" s="73">
        <f t="shared" si="56"/>
        <v>0</v>
      </c>
      <c r="BK34" s="65"/>
      <c r="BL34" s="74" t="s">
        <v>1946</v>
      </c>
      <c r="BM34" s="73">
        <f t="shared" si="56"/>
        <v>0</v>
      </c>
      <c r="BN34" s="65"/>
      <c r="BO34" s="74" t="s">
        <v>1952</v>
      </c>
      <c r="BP34" s="73">
        <f t="shared" si="56"/>
        <v>0</v>
      </c>
      <c r="BQ34" s="65"/>
      <c r="BR34" s="74" t="s">
        <v>1942</v>
      </c>
      <c r="BS34" s="73">
        <f t="shared" si="56"/>
        <v>0</v>
      </c>
      <c r="BT34" s="65"/>
      <c r="BU34" s="74" t="s">
        <v>1942</v>
      </c>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35</v>
      </c>
      <c r="E35" s="111"/>
      <c r="F35" s="445">
        <f t="shared" si="47"/>
        <v>7</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1953</v>
      </c>
      <c r="T35" s="73">
        <f t="shared" si="54"/>
        <v>0</v>
      </c>
      <c r="U35" s="65"/>
      <c r="V35" s="74" t="s">
        <v>1950</v>
      </c>
      <c r="W35" s="73">
        <f t="shared" si="49"/>
        <v>0</v>
      </c>
      <c r="X35" s="65"/>
      <c r="Y35" s="74" t="s">
        <v>2035</v>
      </c>
      <c r="Z35" s="73">
        <f t="shared" si="56"/>
        <v>0</v>
      </c>
      <c r="AA35" s="65"/>
      <c r="AB35" s="74" t="s">
        <v>1949</v>
      </c>
      <c r="AC35" s="73">
        <f t="shared" si="56"/>
        <v>0</v>
      </c>
      <c r="AD35" s="65"/>
      <c r="AE35" s="74" t="s">
        <v>1953</v>
      </c>
      <c r="AF35" s="73">
        <f t="shared" si="56"/>
        <v>0</v>
      </c>
      <c r="AG35" s="65"/>
      <c r="AH35" s="74" t="s">
        <v>1950</v>
      </c>
      <c r="AI35" s="73">
        <f t="shared" si="56"/>
        <v>0</v>
      </c>
      <c r="AJ35" s="65"/>
      <c r="AK35" s="74" t="s">
        <v>2033</v>
      </c>
      <c r="AL35" s="73">
        <f t="shared" si="56"/>
        <v>0</v>
      </c>
      <c r="AM35" s="65"/>
      <c r="AN35" s="74" t="s">
        <v>1950</v>
      </c>
      <c r="AO35" s="73">
        <f t="shared" si="56"/>
        <v>0</v>
      </c>
      <c r="AP35" s="65"/>
      <c r="AQ35" s="74" t="s">
        <v>2036</v>
      </c>
      <c r="AR35" s="73">
        <f t="shared" si="56"/>
        <v>0</v>
      </c>
      <c r="AS35" s="65"/>
      <c r="AT35" s="74" t="s">
        <v>2036</v>
      </c>
      <c r="AU35" s="73">
        <f t="shared" si="56"/>
        <v>0</v>
      </c>
      <c r="AV35" s="65"/>
      <c r="AW35" s="74" t="s">
        <v>1953</v>
      </c>
      <c r="AX35" s="73">
        <f t="shared" si="56"/>
        <v>0</v>
      </c>
      <c r="AY35" s="65"/>
      <c r="AZ35" s="74" t="s">
        <v>1950</v>
      </c>
      <c r="BA35" s="73">
        <f t="shared" si="56"/>
        <v>0</v>
      </c>
      <c r="BB35" s="65"/>
      <c r="BC35" s="74" t="s">
        <v>2037</v>
      </c>
      <c r="BD35" s="73">
        <f t="shared" si="56"/>
        <v>0</v>
      </c>
      <c r="BE35" s="65"/>
      <c r="BF35" s="74" t="s">
        <v>2036</v>
      </c>
      <c r="BG35" s="73">
        <f t="shared" si="56"/>
        <v>0</v>
      </c>
      <c r="BH35" s="65"/>
      <c r="BI35" s="74" t="s">
        <v>2036</v>
      </c>
      <c r="BJ35" s="73">
        <f t="shared" si="56"/>
        <v>0</v>
      </c>
      <c r="BK35" s="65"/>
      <c r="BL35" s="74" t="s">
        <v>2155</v>
      </c>
      <c r="BM35" s="73">
        <f t="shared" si="56"/>
        <v>0</v>
      </c>
      <c r="BN35" s="65"/>
      <c r="BO35" s="74" t="s">
        <v>2036</v>
      </c>
      <c r="BP35" s="73">
        <f t="shared" si="56"/>
        <v>0</v>
      </c>
      <c r="BQ35" s="65"/>
      <c r="BR35" s="74" t="s">
        <v>2036</v>
      </c>
      <c r="BS35" s="73">
        <f t="shared" si="56"/>
        <v>0</v>
      </c>
      <c r="BT35" s="65"/>
      <c r="BU35" s="74" t="s">
        <v>2036</v>
      </c>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40</v>
      </c>
      <c r="E36" s="111"/>
      <c r="F36" s="445">
        <f t="shared" si="47"/>
        <v>7</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1945</v>
      </c>
      <c r="T36" s="73">
        <f t="shared" si="54"/>
        <v>0</v>
      </c>
      <c r="U36" s="65"/>
      <c r="V36" s="74" t="s">
        <v>1948</v>
      </c>
      <c r="W36" s="73">
        <f t="shared" si="49"/>
        <v>0</v>
      </c>
      <c r="X36" s="65"/>
      <c r="Y36" s="74" t="s">
        <v>1949</v>
      </c>
      <c r="Z36" s="73">
        <f t="shared" si="56"/>
        <v>0</v>
      </c>
      <c r="AA36" s="65"/>
      <c r="AB36" s="74" t="s">
        <v>1942</v>
      </c>
      <c r="AC36" s="73">
        <f t="shared" si="56"/>
        <v>0</v>
      </c>
      <c r="AD36" s="65"/>
      <c r="AE36" s="74" t="s">
        <v>1941</v>
      </c>
      <c r="AF36" s="73">
        <f t="shared" si="56"/>
        <v>0</v>
      </c>
      <c r="AG36" s="65"/>
      <c r="AH36" s="74" t="s">
        <v>1949</v>
      </c>
      <c r="AI36" s="73">
        <f t="shared" si="56"/>
        <v>0</v>
      </c>
      <c r="AJ36" s="65"/>
      <c r="AK36" s="74" t="s">
        <v>1941</v>
      </c>
      <c r="AL36" s="73">
        <f t="shared" si="56"/>
        <v>0</v>
      </c>
      <c r="AM36" s="65"/>
      <c r="AN36" s="74" t="s">
        <v>1946</v>
      </c>
      <c r="AO36" s="73">
        <f t="shared" si="56"/>
        <v>0</v>
      </c>
      <c r="AP36" s="65"/>
      <c r="AQ36" s="74" t="s">
        <v>1945</v>
      </c>
      <c r="AR36" s="73">
        <f t="shared" si="56"/>
        <v>0</v>
      </c>
      <c r="AS36" s="65"/>
      <c r="AT36" s="74" t="s">
        <v>1942</v>
      </c>
      <c r="AU36" s="73">
        <f t="shared" si="56"/>
        <v>0</v>
      </c>
      <c r="AV36" s="65"/>
      <c r="AW36" s="74" t="s">
        <v>1942</v>
      </c>
      <c r="AX36" s="73">
        <f t="shared" si="56"/>
        <v>0</v>
      </c>
      <c r="AY36" s="65"/>
      <c r="AZ36" s="74" t="s">
        <v>1948</v>
      </c>
      <c r="BA36" s="73">
        <f t="shared" si="56"/>
        <v>0</v>
      </c>
      <c r="BB36" s="65"/>
      <c r="BC36" s="74" t="s">
        <v>1942</v>
      </c>
      <c r="BD36" s="73">
        <f t="shared" si="56"/>
        <v>0</v>
      </c>
      <c r="BE36" s="65"/>
      <c r="BF36" s="74" t="s">
        <v>1945</v>
      </c>
      <c r="BG36" s="73">
        <f t="shared" si="56"/>
        <v>0</v>
      </c>
      <c r="BH36" s="65"/>
      <c r="BI36" s="74" t="s">
        <v>1945</v>
      </c>
      <c r="BJ36" s="73">
        <f t="shared" si="56"/>
        <v>0</v>
      </c>
      <c r="BK36" s="65"/>
      <c r="BL36" s="74" t="s">
        <v>1942</v>
      </c>
      <c r="BM36" s="73">
        <f t="shared" si="56"/>
        <v>0</v>
      </c>
      <c r="BN36" s="65"/>
      <c r="BO36" s="74" t="s">
        <v>1945</v>
      </c>
      <c r="BP36" s="73">
        <f t="shared" si="56"/>
        <v>0</v>
      </c>
      <c r="BQ36" s="65"/>
      <c r="BR36" s="74" t="s">
        <v>1949</v>
      </c>
      <c r="BS36" s="73">
        <f t="shared" si="56"/>
        <v>0</v>
      </c>
      <c r="BT36" s="65"/>
      <c r="BU36" s="74" t="s">
        <v>1949</v>
      </c>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45</v>
      </c>
      <c r="E37" s="111"/>
      <c r="F37" s="445">
        <f t="shared" si="47"/>
        <v>7</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1949</v>
      </c>
      <c r="T37" s="73">
        <f t="shared" si="48"/>
        <v>0</v>
      </c>
      <c r="U37" s="65"/>
      <c r="V37" s="74" t="s">
        <v>1942</v>
      </c>
      <c r="W37" s="73">
        <f t="shared" si="49"/>
        <v>0</v>
      </c>
      <c r="X37" s="65"/>
      <c r="Y37" s="74" t="s">
        <v>1997</v>
      </c>
      <c r="Z37" s="73">
        <f t="shared" si="56"/>
        <v>0</v>
      </c>
      <c r="AA37" s="65"/>
      <c r="AB37" s="74" t="s">
        <v>1945</v>
      </c>
      <c r="AC37" s="73">
        <f t="shared" si="56"/>
        <v>0</v>
      </c>
      <c r="AD37" s="65"/>
      <c r="AE37" s="74" t="s">
        <v>1944</v>
      </c>
      <c r="AF37" s="73">
        <f t="shared" si="56"/>
        <v>0</v>
      </c>
      <c r="AG37" s="65"/>
      <c r="AH37" s="74" t="s">
        <v>1942</v>
      </c>
      <c r="AI37" s="73">
        <f t="shared" si="56"/>
        <v>0</v>
      </c>
      <c r="AJ37" s="65"/>
      <c r="AK37" s="74" t="s">
        <v>1944</v>
      </c>
      <c r="AL37" s="73">
        <f t="shared" si="56"/>
        <v>0</v>
      </c>
      <c r="AM37" s="65"/>
      <c r="AN37" s="74" t="s">
        <v>1942</v>
      </c>
      <c r="AO37" s="73">
        <f t="shared" si="56"/>
        <v>0</v>
      </c>
      <c r="AP37" s="65"/>
      <c r="AQ37" s="74" t="s">
        <v>1949</v>
      </c>
      <c r="AR37" s="73">
        <f t="shared" si="56"/>
        <v>0</v>
      </c>
      <c r="AS37" s="65"/>
      <c r="AT37" s="74" t="s">
        <v>1948</v>
      </c>
      <c r="AU37" s="73">
        <f t="shared" si="56"/>
        <v>0</v>
      </c>
      <c r="AV37" s="65"/>
      <c r="AW37" s="74" t="s">
        <v>1948</v>
      </c>
      <c r="AX37" s="73">
        <f t="shared" si="56"/>
        <v>0</v>
      </c>
      <c r="AY37" s="65"/>
      <c r="AZ37" s="74" t="s">
        <v>1949</v>
      </c>
      <c r="BA37" s="73">
        <f t="shared" si="56"/>
        <v>0</v>
      </c>
      <c r="BB37" s="65"/>
      <c r="BC37" s="74" t="s">
        <v>1949</v>
      </c>
      <c r="BD37" s="73">
        <f t="shared" si="56"/>
        <v>0</v>
      </c>
      <c r="BE37" s="65"/>
      <c r="BF37" s="74" t="s">
        <v>1942</v>
      </c>
      <c r="BG37" s="73">
        <f t="shared" si="56"/>
        <v>0</v>
      </c>
      <c r="BH37" s="65"/>
      <c r="BI37" s="74" t="s">
        <v>1945</v>
      </c>
      <c r="BJ37" s="73">
        <f t="shared" si="56"/>
        <v>0</v>
      </c>
      <c r="BK37" s="65"/>
      <c r="BL37" s="74" t="s">
        <v>1941</v>
      </c>
      <c r="BM37" s="73">
        <f t="shared" si="56"/>
        <v>0</v>
      </c>
      <c r="BN37" s="65"/>
      <c r="BO37" s="74" t="s">
        <v>1945</v>
      </c>
      <c r="BP37" s="73">
        <f t="shared" si="56"/>
        <v>0</v>
      </c>
      <c r="BQ37" s="65"/>
      <c r="BR37" s="74" t="s">
        <v>1942</v>
      </c>
      <c r="BS37" s="73">
        <f t="shared" si="56"/>
        <v>0</v>
      </c>
      <c r="BT37" s="65"/>
      <c r="BU37" s="74" t="s">
        <v>1942</v>
      </c>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50</v>
      </c>
      <c r="E38" s="111"/>
      <c r="F38" s="445">
        <f t="shared" si="47"/>
        <v>7</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1941</v>
      </c>
      <c r="T38" s="73">
        <f t="shared" si="48"/>
        <v>0</v>
      </c>
      <c r="U38" s="65"/>
      <c r="V38" s="74" t="s">
        <v>1996</v>
      </c>
      <c r="W38" s="73">
        <f t="shared" si="49"/>
        <v>0</v>
      </c>
      <c r="X38" s="65"/>
      <c r="Y38" s="74" t="s">
        <v>1946</v>
      </c>
      <c r="Z38" s="73">
        <f t="shared" si="56"/>
        <v>0</v>
      </c>
      <c r="AA38" s="65"/>
      <c r="AB38" s="74" t="s">
        <v>1948</v>
      </c>
      <c r="AC38" s="73">
        <f t="shared" si="56"/>
        <v>0</v>
      </c>
      <c r="AD38" s="65"/>
      <c r="AE38" s="74" t="s">
        <v>1944</v>
      </c>
      <c r="AF38" s="73">
        <f t="shared" si="56"/>
        <v>0</v>
      </c>
      <c r="AG38" s="65"/>
      <c r="AH38" s="74" t="s">
        <v>1942</v>
      </c>
      <c r="AI38" s="73">
        <f t="shared" si="56"/>
        <v>0</v>
      </c>
      <c r="AJ38" s="65"/>
      <c r="AK38" s="74" t="s">
        <v>1948</v>
      </c>
      <c r="AL38" s="73">
        <f t="shared" si="56"/>
        <v>0</v>
      </c>
      <c r="AM38" s="65"/>
      <c r="AN38" s="74" t="s">
        <v>1948</v>
      </c>
      <c r="AO38" s="73">
        <f t="shared" si="56"/>
        <v>0</v>
      </c>
      <c r="AP38" s="65"/>
      <c r="AQ38" s="74" t="s">
        <v>1945</v>
      </c>
      <c r="AR38" s="73">
        <f t="shared" si="56"/>
        <v>0</v>
      </c>
      <c r="AS38" s="65"/>
      <c r="AT38" s="74" t="s">
        <v>1950</v>
      </c>
      <c r="AU38" s="73">
        <f t="shared" si="56"/>
        <v>0</v>
      </c>
      <c r="AV38" s="65"/>
      <c r="AW38" s="74" t="s">
        <v>1950</v>
      </c>
      <c r="AX38" s="73">
        <f t="shared" si="56"/>
        <v>0</v>
      </c>
      <c r="AY38" s="65"/>
      <c r="AZ38" s="74" t="s">
        <v>1942</v>
      </c>
      <c r="BA38" s="73">
        <f t="shared" si="56"/>
        <v>0</v>
      </c>
      <c r="BB38" s="65"/>
      <c r="BC38" s="74" t="s">
        <v>1948</v>
      </c>
      <c r="BD38" s="73">
        <f t="shared" si="56"/>
        <v>0</v>
      </c>
      <c r="BE38" s="65"/>
      <c r="BF38" s="74" t="s">
        <v>1949</v>
      </c>
      <c r="BG38" s="73">
        <f t="shared" si="56"/>
        <v>0</v>
      </c>
      <c r="BH38" s="65"/>
      <c r="BI38" s="74" t="s">
        <v>1945</v>
      </c>
      <c r="BJ38" s="73">
        <f t="shared" si="56"/>
        <v>0</v>
      </c>
      <c r="BK38" s="65"/>
      <c r="BL38" s="74" t="s">
        <v>1942</v>
      </c>
      <c r="BM38" s="73">
        <f t="shared" si="56"/>
        <v>0</v>
      </c>
      <c r="BN38" s="65"/>
      <c r="BO38" s="74" t="s">
        <v>1948</v>
      </c>
      <c r="BP38" s="73">
        <f t="shared" si="56"/>
        <v>0</v>
      </c>
      <c r="BQ38" s="65"/>
      <c r="BR38" s="74" t="s">
        <v>1948</v>
      </c>
      <c r="BS38" s="73">
        <f t="shared" si="56"/>
        <v>0</v>
      </c>
      <c r="BT38" s="65"/>
      <c r="BU38" s="74" t="s">
        <v>1949</v>
      </c>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100</v>
      </c>
      <c r="E39" s="111"/>
      <c r="F39" s="445">
        <f t="shared" si="47"/>
        <v>7</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1949</v>
      </c>
      <c r="T39" s="73">
        <f t="shared" si="48"/>
        <v>0</v>
      </c>
      <c r="U39" s="65"/>
      <c r="V39" s="74" t="s">
        <v>1949</v>
      </c>
      <c r="W39" s="73">
        <f t="shared" si="49"/>
        <v>0</v>
      </c>
      <c r="X39" s="65"/>
      <c r="Y39" s="74" t="s">
        <v>2036</v>
      </c>
      <c r="Z39" s="73">
        <f t="shared" si="56"/>
        <v>0</v>
      </c>
      <c r="AA39" s="65"/>
      <c r="AB39" s="74" t="s">
        <v>1948</v>
      </c>
      <c r="AC39" s="73">
        <f t="shared" si="56"/>
        <v>0</v>
      </c>
      <c r="AD39" s="65"/>
      <c r="AE39" s="74" t="s">
        <v>1941</v>
      </c>
      <c r="AF39" s="73">
        <f t="shared" si="56"/>
        <v>0</v>
      </c>
      <c r="AG39" s="65"/>
      <c r="AH39" s="74" t="s">
        <v>1949</v>
      </c>
      <c r="AI39" s="73">
        <f t="shared" si="56"/>
        <v>0</v>
      </c>
      <c r="AJ39" s="65"/>
      <c r="AK39" s="74" t="s">
        <v>2036</v>
      </c>
      <c r="AL39" s="73">
        <f t="shared" si="56"/>
        <v>0</v>
      </c>
      <c r="AM39" s="65"/>
      <c r="AN39" s="74" t="s">
        <v>1949</v>
      </c>
      <c r="AO39" s="73">
        <f t="shared" si="56"/>
        <v>0</v>
      </c>
      <c r="AP39" s="65"/>
      <c r="AQ39" s="74" t="s">
        <v>1949</v>
      </c>
      <c r="AR39" s="73">
        <f t="shared" si="56"/>
        <v>0</v>
      </c>
      <c r="AS39" s="65"/>
      <c r="AT39" s="74" t="s">
        <v>1954</v>
      </c>
      <c r="AU39" s="73">
        <f t="shared" si="56"/>
        <v>0</v>
      </c>
      <c r="AV39" s="65"/>
      <c r="AW39" s="74" t="s">
        <v>1950</v>
      </c>
      <c r="AX39" s="73">
        <f t="shared" si="56"/>
        <v>0</v>
      </c>
      <c r="AY39" s="65"/>
      <c r="AZ39" s="74" t="s">
        <v>1949</v>
      </c>
      <c r="BA39" s="73">
        <f t="shared" si="56"/>
        <v>0</v>
      </c>
      <c r="BB39" s="65"/>
      <c r="BC39" s="74" t="s">
        <v>1950</v>
      </c>
      <c r="BD39" s="73">
        <f t="shared" si="56"/>
        <v>0</v>
      </c>
      <c r="BE39" s="65"/>
      <c r="BF39" s="74" t="s">
        <v>1949</v>
      </c>
      <c r="BG39" s="73">
        <f t="shared" si="56"/>
        <v>0</v>
      </c>
      <c r="BH39" s="65"/>
      <c r="BI39" s="74" t="s">
        <v>2036</v>
      </c>
      <c r="BJ39" s="73">
        <f t="shared" si="56"/>
        <v>0</v>
      </c>
      <c r="BK39" s="65"/>
      <c r="BL39" s="74" t="s">
        <v>1950</v>
      </c>
      <c r="BM39" s="73">
        <f t="shared" si="56"/>
        <v>0</v>
      </c>
      <c r="BN39" s="65"/>
      <c r="BO39" s="74" t="s">
        <v>1950</v>
      </c>
      <c r="BP39" s="73">
        <f t="shared" si="56"/>
        <v>0</v>
      </c>
      <c r="BQ39" s="65"/>
      <c r="BR39" s="74" t="s">
        <v>1949</v>
      </c>
      <c r="BS39" s="73">
        <f t="shared" si="56"/>
        <v>0</v>
      </c>
      <c r="BT39" s="65"/>
      <c r="BU39" s="74" t="s">
        <v>1949</v>
      </c>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50</v>
      </c>
      <c r="E40" s="111"/>
      <c r="F40" s="445">
        <f t="shared" si="47"/>
        <v>21</v>
      </c>
      <c r="G40" s="445">
        <f ca="1">VLOOKUP(H40,Equipos!$Q$1:$R$25,2,0)</f>
        <v>10</v>
      </c>
      <c r="H40" s="446">
        <f ca="1">TRUNC(INDEX(WORLDCUP!$X$4:$X$147,MATCH(ADMIN!K40,WORLDCUP!$DT$4:$DT$147,0))+INDEX(Horarios!$R$3:$R$86,MATCH(Horarios!$C$3,Horarios!$P$3:$P$86,0))/24)</f>
        <v>46193</v>
      </c>
      <c r="I40" s="48">
        <v>3</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1942</v>
      </c>
      <c r="T40" s="73">
        <f t="shared" si="48"/>
        <v>0</v>
      </c>
      <c r="U40" s="65"/>
      <c r="V40" s="74" t="s">
        <v>1948</v>
      </c>
      <c r="W40" s="73">
        <f t="shared" si="49"/>
        <v>0</v>
      </c>
      <c r="X40" s="65"/>
      <c r="Y40" s="74" t="s">
        <v>1944</v>
      </c>
      <c r="Z40" s="73">
        <f t="shared" si="56"/>
        <v>0</v>
      </c>
      <c r="AA40" s="65"/>
      <c r="AB40" s="74" t="s">
        <v>1948</v>
      </c>
      <c r="AC40" s="73">
        <f t="shared" si="56"/>
        <v>0</v>
      </c>
      <c r="AD40" s="65"/>
      <c r="AE40" s="74" t="s">
        <v>1944</v>
      </c>
      <c r="AF40" s="73">
        <f t="shared" si="56"/>
        <v>0</v>
      </c>
      <c r="AG40" s="65"/>
      <c r="AH40" s="74" t="s">
        <v>1942</v>
      </c>
      <c r="AI40" s="73">
        <f t="shared" si="56"/>
        <v>0</v>
      </c>
      <c r="AJ40" s="65"/>
      <c r="AK40" s="74" t="s">
        <v>1945</v>
      </c>
      <c r="AL40" s="73">
        <f t="shared" si="56"/>
        <v>0</v>
      </c>
      <c r="AM40" s="65"/>
      <c r="AN40" s="74" t="s">
        <v>1948</v>
      </c>
      <c r="AO40" s="73">
        <f t="shared" si="56"/>
        <v>0</v>
      </c>
      <c r="AP40" s="65"/>
      <c r="AQ40" s="74" t="s">
        <v>1948</v>
      </c>
      <c r="AR40" s="73">
        <f t="shared" si="56"/>
        <v>0</v>
      </c>
      <c r="AS40" s="65"/>
      <c r="AT40" s="74" t="s">
        <v>1942</v>
      </c>
      <c r="AU40" s="73">
        <f t="shared" si="56"/>
        <v>0</v>
      </c>
      <c r="AV40" s="65"/>
      <c r="AW40" s="74" t="s">
        <v>1941</v>
      </c>
      <c r="AX40" s="73">
        <f t="shared" si="56"/>
        <v>0</v>
      </c>
      <c r="AY40" s="65"/>
      <c r="AZ40" s="74" t="s">
        <v>1948</v>
      </c>
      <c r="BA40" s="73">
        <f t="shared" si="56"/>
        <v>0</v>
      </c>
      <c r="BB40" s="65"/>
      <c r="BC40" s="74" t="s">
        <v>1949</v>
      </c>
      <c r="BD40" s="73">
        <f t="shared" si="56"/>
        <v>0</v>
      </c>
      <c r="BE40" s="65"/>
      <c r="BF40" s="74" t="s">
        <v>1948</v>
      </c>
      <c r="BG40" s="73">
        <f t="shared" si="56"/>
        <v>0</v>
      </c>
      <c r="BH40" s="65"/>
      <c r="BI40" s="74" t="s">
        <v>1945</v>
      </c>
      <c r="BJ40" s="73">
        <f t="shared" si="56"/>
        <v>0</v>
      </c>
      <c r="BK40" s="65"/>
      <c r="BL40" s="74" t="s">
        <v>1948</v>
      </c>
      <c r="BM40" s="73">
        <f t="shared" si="56"/>
        <v>0</v>
      </c>
      <c r="BN40" s="65"/>
      <c r="BO40" s="74" t="s">
        <v>1948</v>
      </c>
      <c r="BP40" s="73">
        <f t="shared" si="56"/>
        <v>0</v>
      </c>
      <c r="BQ40" s="65"/>
      <c r="BR40" s="74" t="s">
        <v>1948</v>
      </c>
      <c r="BS40" s="73">
        <f t="shared" si="56"/>
        <v>0</v>
      </c>
      <c r="BT40" s="65"/>
      <c r="BU40" s="74" t="s">
        <v>1948</v>
      </c>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25</v>
      </c>
      <c r="E41" s="111"/>
      <c r="F41" s="445">
        <f t="shared" si="47"/>
        <v>7</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1951</v>
      </c>
      <c r="T41" s="73">
        <f t="shared" si="48"/>
        <v>0</v>
      </c>
      <c r="U41" s="65"/>
      <c r="V41" s="74" t="s">
        <v>1942</v>
      </c>
      <c r="W41" s="73">
        <f t="shared" si="49"/>
        <v>0</v>
      </c>
      <c r="X41" s="65"/>
      <c r="Y41" s="74" t="s">
        <v>1946</v>
      </c>
      <c r="Z41" s="73">
        <f t="shared" si="56"/>
        <v>0</v>
      </c>
      <c r="AA41" s="65"/>
      <c r="AB41" s="74" t="s">
        <v>1952</v>
      </c>
      <c r="AC41" s="73">
        <f t="shared" si="56"/>
        <v>0</v>
      </c>
      <c r="AD41" s="65"/>
      <c r="AE41" s="74" t="s">
        <v>1943</v>
      </c>
      <c r="AF41" s="73">
        <f t="shared" si="56"/>
        <v>0</v>
      </c>
      <c r="AG41" s="65"/>
      <c r="AH41" s="74" t="s">
        <v>1943</v>
      </c>
      <c r="AI41" s="73">
        <f t="shared" si="56"/>
        <v>0</v>
      </c>
      <c r="AJ41" s="65"/>
      <c r="AK41" s="74" t="s">
        <v>1951</v>
      </c>
      <c r="AL41" s="73">
        <f t="shared" si="56"/>
        <v>0</v>
      </c>
      <c r="AM41" s="65"/>
      <c r="AN41" s="74" t="s">
        <v>1946</v>
      </c>
      <c r="AO41" s="73">
        <f t="shared" si="56"/>
        <v>0</v>
      </c>
      <c r="AP41" s="65"/>
      <c r="AQ41" s="74" t="s">
        <v>1946</v>
      </c>
      <c r="AR41" s="73">
        <f t="shared" si="56"/>
        <v>0</v>
      </c>
      <c r="AS41" s="65"/>
      <c r="AT41" s="74" t="s">
        <v>1943</v>
      </c>
      <c r="AU41" s="73">
        <f t="shared" si="56"/>
        <v>0</v>
      </c>
      <c r="AV41" s="65"/>
      <c r="AW41" s="74" t="s">
        <v>1952</v>
      </c>
      <c r="AX41" s="73">
        <f t="shared" si="56"/>
        <v>0</v>
      </c>
      <c r="AY41" s="65"/>
      <c r="AZ41" s="74" t="s">
        <v>1942</v>
      </c>
      <c r="BA41" s="73">
        <f t="shared" si="56"/>
        <v>0</v>
      </c>
      <c r="BB41" s="65"/>
      <c r="BC41" s="74" t="s">
        <v>1951</v>
      </c>
      <c r="BD41" s="73">
        <f t="shared" si="56"/>
        <v>0</v>
      </c>
      <c r="BE41" s="65"/>
      <c r="BF41" s="74" t="s">
        <v>1952</v>
      </c>
      <c r="BG41" s="73">
        <f t="shared" si="56"/>
        <v>0</v>
      </c>
      <c r="BH41" s="65"/>
      <c r="BI41" s="74" t="s">
        <v>1952</v>
      </c>
      <c r="BJ41" s="73">
        <f t="shared" si="56"/>
        <v>0</v>
      </c>
      <c r="BK41" s="65"/>
      <c r="BL41" s="74" t="s">
        <v>1946</v>
      </c>
      <c r="BM41" s="73">
        <f t="shared" si="56"/>
        <v>0</v>
      </c>
      <c r="BN41" s="65"/>
      <c r="BO41" s="74" t="s">
        <v>1942</v>
      </c>
      <c r="BP41" s="73">
        <f t="shared" si="56"/>
        <v>0</v>
      </c>
      <c r="BQ41" s="65"/>
      <c r="BR41" s="74" t="s">
        <v>1942</v>
      </c>
      <c r="BS41" s="73">
        <f t="shared" si="56"/>
        <v>0</v>
      </c>
      <c r="BT41" s="65"/>
      <c r="BU41" s="74" t="s">
        <v>1943</v>
      </c>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50</v>
      </c>
      <c r="E42" s="111"/>
      <c r="F42" s="445">
        <f t="shared" si="47"/>
        <v>7</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1948</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1945</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1941</v>
      </c>
      <c r="Z42" s="77">
        <f t="shared" si="56"/>
        <v>0</v>
      </c>
      <c r="AA42" s="65"/>
      <c r="AB42" s="76" t="s">
        <v>1948</v>
      </c>
      <c r="AC42" s="77">
        <f t="shared" si="56"/>
        <v>0</v>
      </c>
      <c r="AD42" s="65"/>
      <c r="AE42" s="76" t="s">
        <v>1950</v>
      </c>
      <c r="AF42" s="77">
        <f t="shared" si="56"/>
        <v>0</v>
      </c>
      <c r="AG42" s="65"/>
      <c r="AH42" s="76" t="s">
        <v>1942</v>
      </c>
      <c r="AI42" s="77">
        <f t="shared" si="56"/>
        <v>0</v>
      </c>
      <c r="AJ42" s="65"/>
      <c r="AK42" s="76" t="s">
        <v>1949</v>
      </c>
      <c r="AL42" s="77">
        <f t="shared" si="56"/>
        <v>0</v>
      </c>
      <c r="AM42" s="65"/>
      <c r="AN42" s="76" t="s">
        <v>1948</v>
      </c>
      <c r="AO42" s="77">
        <f t="shared" si="56"/>
        <v>0</v>
      </c>
      <c r="AP42" s="65"/>
      <c r="AQ42" s="76" t="s">
        <v>1949</v>
      </c>
      <c r="AR42" s="77">
        <f t="shared" si="56"/>
        <v>0</v>
      </c>
      <c r="AS42" s="65"/>
      <c r="AT42" s="76" t="s">
        <v>1950</v>
      </c>
      <c r="AU42" s="77">
        <f t="shared" si="56"/>
        <v>0</v>
      </c>
      <c r="AV42" s="65"/>
      <c r="AW42" s="76" t="s">
        <v>1945</v>
      </c>
      <c r="AX42" s="77">
        <f t="shared" si="56"/>
        <v>0</v>
      </c>
      <c r="AY42" s="65"/>
      <c r="AZ42" s="76" t="s">
        <v>1948</v>
      </c>
      <c r="BA42" s="77">
        <f t="shared" si="56"/>
        <v>0</v>
      </c>
      <c r="BB42" s="65"/>
      <c r="BC42" s="76" t="s">
        <v>1949</v>
      </c>
      <c r="BD42" s="77">
        <f t="shared" si="56"/>
        <v>0</v>
      </c>
      <c r="BE42" s="65"/>
      <c r="BF42" s="76" t="s">
        <v>1949</v>
      </c>
      <c r="BG42" s="77">
        <f t="shared" si="56"/>
        <v>0</v>
      </c>
      <c r="BH42" s="65"/>
      <c r="BI42" s="76" t="s">
        <v>1945</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1945</v>
      </c>
      <c r="BP42" s="77">
        <f t="shared" si="57"/>
        <v>0</v>
      </c>
      <c r="BQ42" s="65"/>
      <c r="BR42" s="76" t="s">
        <v>1948</v>
      </c>
      <c r="BS42" s="77">
        <f t="shared" si="57"/>
        <v>0</v>
      </c>
      <c r="BT42" s="65"/>
      <c r="BU42" s="76" t="s">
        <v>1948</v>
      </c>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25</v>
      </c>
      <c r="E43" s="111"/>
      <c r="F43" s="445">
        <f t="shared" si="47"/>
        <v>7</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1943</v>
      </c>
      <c r="T43" s="73">
        <f t="shared" si="48"/>
        <v>0</v>
      </c>
      <c r="U43" s="65"/>
      <c r="V43" s="74" t="s">
        <v>1955</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1946</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1942</v>
      </c>
      <c r="AC43" s="73">
        <f t="shared" si="59"/>
        <v>0</v>
      </c>
      <c r="AD43" s="65"/>
      <c r="AE43" s="74" t="s">
        <v>1942</v>
      </c>
      <c r="AF43" s="73">
        <f t="shared" si="59"/>
        <v>0</v>
      </c>
      <c r="AG43" s="65"/>
      <c r="AH43" s="74" t="s">
        <v>1943</v>
      </c>
      <c r="AI43" s="73">
        <f t="shared" si="59"/>
        <v>0</v>
      </c>
      <c r="AJ43" s="65"/>
      <c r="AK43" s="74" t="s">
        <v>1952</v>
      </c>
      <c r="AL43" s="73">
        <f t="shared" si="59"/>
        <v>0</v>
      </c>
      <c r="AM43" s="65"/>
      <c r="AN43" s="74" t="s">
        <v>1942</v>
      </c>
      <c r="AO43" s="73">
        <f t="shared" si="59"/>
        <v>0</v>
      </c>
      <c r="AP43" s="65"/>
      <c r="AQ43" s="74" t="s">
        <v>1943</v>
      </c>
      <c r="AR43" s="73">
        <f t="shared" si="59"/>
        <v>0</v>
      </c>
      <c r="AS43" s="65"/>
      <c r="AT43" s="74" t="s">
        <v>1952</v>
      </c>
      <c r="AU43" s="73">
        <f t="shared" si="59"/>
        <v>0</v>
      </c>
      <c r="AV43" s="65"/>
      <c r="AW43" s="74" t="s">
        <v>1952</v>
      </c>
      <c r="AX43" s="73">
        <f t="shared" si="59"/>
        <v>0</v>
      </c>
      <c r="AY43" s="65"/>
      <c r="AZ43" s="74" t="s">
        <v>1946</v>
      </c>
      <c r="BA43" s="73">
        <f t="shared" si="59"/>
        <v>0</v>
      </c>
      <c r="BB43" s="65"/>
      <c r="BC43" s="74" t="s">
        <v>1946</v>
      </c>
      <c r="BD43" s="73">
        <f t="shared" si="59"/>
        <v>0</v>
      </c>
      <c r="BE43" s="65"/>
      <c r="BF43" s="74" t="s">
        <v>1952</v>
      </c>
      <c r="BG43" s="73">
        <f t="shared" si="59"/>
        <v>0</v>
      </c>
      <c r="BH43" s="65"/>
      <c r="BI43" s="74" t="s">
        <v>1943</v>
      </c>
      <c r="BJ43" s="73">
        <f t="shared" si="59"/>
        <v>0</v>
      </c>
      <c r="BK43" s="65"/>
      <c r="BL43" s="74" t="s">
        <v>1946</v>
      </c>
      <c r="BM43" s="73">
        <f t="shared" si="59"/>
        <v>0</v>
      </c>
      <c r="BN43" s="65"/>
      <c r="BO43" s="74" t="s">
        <v>1955</v>
      </c>
      <c r="BP43" s="73">
        <f t="shared" si="59"/>
        <v>0</v>
      </c>
      <c r="BQ43" s="65"/>
      <c r="BR43" s="74" t="s">
        <v>1942</v>
      </c>
      <c r="BS43" s="73">
        <f t="shared" si="59"/>
        <v>0</v>
      </c>
      <c r="BT43" s="65"/>
      <c r="BU43" s="74" t="s">
        <v>1955</v>
      </c>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10</v>
      </c>
      <c r="E44" s="111"/>
      <c r="F44" s="445">
        <f t="shared" si="47"/>
        <v>21</v>
      </c>
      <c r="G44" s="445">
        <f ca="1">VLOOKUP(H44,Equipos!$Q$1:$R$25,2,0)</f>
        <v>11</v>
      </c>
      <c r="H44" s="446">
        <f ca="1">TRUNC(INDEX(WORLDCUP!$X$4:$X$147,MATCH(ADMIN!K44,WORLDCUP!$DT$4:$DT$147,0))+INDEX(Horarios!$R$3:$R$86,MATCH(Horarios!$C$3,Horarios!$P$3:$P$86,0))/24)</f>
        <v>46194</v>
      </c>
      <c r="I44" s="48">
        <v>3</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1948</v>
      </c>
      <c r="T44" s="73">
        <f t="shared" si="48"/>
        <v>0</v>
      </c>
      <c r="U44" s="65"/>
      <c r="V44" s="74" t="s">
        <v>1950</v>
      </c>
      <c r="W44" s="73">
        <f t="shared" si="58"/>
        <v>0</v>
      </c>
      <c r="X44" s="65"/>
      <c r="Y44" s="74" t="s">
        <v>1941</v>
      </c>
      <c r="Z44" s="73">
        <f t="shared" si="59"/>
        <v>0</v>
      </c>
      <c r="AA44" s="65"/>
      <c r="AB44" s="74" t="s">
        <v>1948</v>
      </c>
      <c r="AC44" s="73">
        <f t="shared" si="59"/>
        <v>0</v>
      </c>
      <c r="AD44" s="65"/>
      <c r="AE44" s="74" t="s">
        <v>1950</v>
      </c>
      <c r="AF44" s="73">
        <f t="shared" si="59"/>
        <v>0</v>
      </c>
      <c r="AG44" s="65"/>
      <c r="AH44" s="74" t="s">
        <v>1942</v>
      </c>
      <c r="AI44" s="73">
        <f t="shared" si="59"/>
        <v>0</v>
      </c>
      <c r="AJ44" s="65"/>
      <c r="AK44" s="74" t="s">
        <v>1953</v>
      </c>
      <c r="AL44" s="73">
        <f t="shared" si="59"/>
        <v>0</v>
      </c>
      <c r="AM44" s="65"/>
      <c r="AN44" s="74" t="s">
        <v>1949</v>
      </c>
      <c r="AO44" s="73">
        <f t="shared" si="59"/>
        <v>0</v>
      </c>
      <c r="AP44" s="65"/>
      <c r="AQ44" s="74" t="s">
        <v>1948</v>
      </c>
      <c r="AR44" s="73">
        <f t="shared" si="59"/>
        <v>0</v>
      </c>
      <c r="AS44" s="65"/>
      <c r="AT44" s="74" t="s">
        <v>1949</v>
      </c>
      <c r="AU44" s="73">
        <f t="shared" si="59"/>
        <v>0</v>
      </c>
      <c r="AV44" s="65"/>
      <c r="AW44" s="74" t="s">
        <v>2036</v>
      </c>
      <c r="AX44" s="73">
        <f t="shared" si="59"/>
        <v>0</v>
      </c>
      <c r="AY44" s="65"/>
      <c r="AZ44" s="74" t="s">
        <v>1948</v>
      </c>
      <c r="BA44" s="73">
        <f t="shared" si="59"/>
        <v>0</v>
      </c>
      <c r="BB44" s="65"/>
      <c r="BC44" s="74" t="s">
        <v>1949</v>
      </c>
      <c r="BD44" s="73">
        <f t="shared" si="59"/>
        <v>0</v>
      </c>
      <c r="BE44" s="65"/>
      <c r="BF44" s="74" t="s">
        <v>1950</v>
      </c>
      <c r="BG44" s="73">
        <f t="shared" si="59"/>
        <v>0</v>
      </c>
      <c r="BH44" s="65"/>
      <c r="BI44" s="74" t="s">
        <v>1950</v>
      </c>
      <c r="BJ44" s="73">
        <f t="shared" si="59"/>
        <v>0</v>
      </c>
      <c r="BK44" s="65"/>
      <c r="BL44" s="74" t="s">
        <v>2036</v>
      </c>
      <c r="BM44" s="73">
        <f t="shared" si="59"/>
        <v>0</v>
      </c>
      <c r="BN44" s="65"/>
      <c r="BO44" s="74" t="s">
        <v>1949</v>
      </c>
      <c r="BP44" s="73">
        <f t="shared" si="59"/>
        <v>0</v>
      </c>
      <c r="BQ44" s="65"/>
      <c r="BR44" s="74" t="s">
        <v>2036</v>
      </c>
      <c r="BS44" s="73">
        <f t="shared" si="59"/>
        <v>0</v>
      </c>
      <c r="BT44" s="65"/>
      <c r="BU44" s="74" t="s">
        <v>1950</v>
      </c>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50</v>
      </c>
      <c r="E45" s="111"/>
      <c r="F45" s="445">
        <f t="shared" si="47"/>
        <v>7</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1949</v>
      </c>
      <c r="T45" s="73">
        <f t="shared" si="48"/>
        <v>0</v>
      </c>
      <c r="U45" s="65"/>
      <c r="V45" s="74" t="s">
        <v>1948</v>
      </c>
      <c r="W45" s="73">
        <f t="shared" si="58"/>
        <v>0</v>
      </c>
      <c r="X45" s="65"/>
      <c r="Y45" s="74" t="s">
        <v>1950</v>
      </c>
      <c r="Z45" s="73">
        <f t="shared" si="59"/>
        <v>0</v>
      </c>
      <c r="AA45" s="65"/>
      <c r="AB45" s="74" t="s">
        <v>1945</v>
      </c>
      <c r="AC45" s="73">
        <f t="shared" si="59"/>
        <v>0</v>
      </c>
      <c r="AD45" s="65"/>
      <c r="AE45" s="74" t="s">
        <v>1949</v>
      </c>
      <c r="AF45" s="73">
        <f t="shared" si="59"/>
        <v>0</v>
      </c>
      <c r="AG45" s="65"/>
      <c r="AH45" s="74" t="s">
        <v>1949</v>
      </c>
      <c r="AI45" s="73">
        <f t="shared" si="59"/>
        <v>0</v>
      </c>
      <c r="AJ45" s="65"/>
      <c r="AK45" s="74" t="s">
        <v>1941</v>
      </c>
      <c r="AL45" s="73">
        <f t="shared" si="59"/>
        <v>0</v>
      </c>
      <c r="AM45" s="65"/>
      <c r="AN45" s="74" t="s">
        <v>1948</v>
      </c>
      <c r="AO45" s="73">
        <f t="shared" si="59"/>
        <v>0</v>
      </c>
      <c r="AP45" s="65"/>
      <c r="AQ45" s="74" t="s">
        <v>1949</v>
      </c>
      <c r="AR45" s="73">
        <f t="shared" si="59"/>
        <v>0</v>
      </c>
      <c r="AS45" s="65"/>
      <c r="AT45" s="74" t="s">
        <v>1950</v>
      </c>
      <c r="AU45" s="73">
        <f t="shared" si="59"/>
        <v>0</v>
      </c>
      <c r="AV45" s="65"/>
      <c r="AW45" s="74" t="s">
        <v>2036</v>
      </c>
      <c r="AX45" s="73">
        <f t="shared" si="59"/>
        <v>0</v>
      </c>
      <c r="AY45" s="65"/>
      <c r="AZ45" s="74" t="s">
        <v>1949</v>
      </c>
      <c r="BA45" s="73">
        <f t="shared" si="59"/>
        <v>0</v>
      </c>
      <c r="BB45" s="65"/>
      <c r="BC45" s="74" t="s">
        <v>1950</v>
      </c>
      <c r="BD45" s="73">
        <f t="shared" si="59"/>
        <v>0</v>
      </c>
      <c r="BE45" s="65"/>
      <c r="BF45" s="74" t="s">
        <v>1949</v>
      </c>
      <c r="BG45" s="73">
        <f t="shared" si="59"/>
        <v>0</v>
      </c>
      <c r="BH45" s="65"/>
      <c r="BI45" s="74" t="s">
        <v>1945</v>
      </c>
      <c r="BJ45" s="73">
        <f t="shared" si="59"/>
        <v>0</v>
      </c>
      <c r="BK45" s="65"/>
      <c r="BL45" s="74" t="s">
        <v>1948</v>
      </c>
      <c r="BM45" s="73">
        <f t="shared" si="59"/>
        <v>0</v>
      </c>
      <c r="BN45" s="65"/>
      <c r="BO45" s="74" t="s">
        <v>1949</v>
      </c>
      <c r="BP45" s="73">
        <f t="shared" si="59"/>
        <v>0</v>
      </c>
      <c r="BQ45" s="65"/>
      <c r="BR45" s="74" t="s">
        <v>1949</v>
      </c>
      <c r="BS45" s="73">
        <f t="shared" si="59"/>
        <v>0</v>
      </c>
      <c r="BT45" s="65"/>
      <c r="BU45" s="74" t="s">
        <v>1949</v>
      </c>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25</v>
      </c>
      <c r="E46" s="111"/>
      <c r="F46" s="445">
        <f t="shared" si="47"/>
        <v>7</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1953</v>
      </c>
      <c r="W46" s="73">
        <f t="shared" si="58"/>
        <v>0</v>
      </c>
      <c r="X46" s="65"/>
      <c r="Y46" s="74" t="s">
        <v>1950</v>
      </c>
      <c r="Z46" s="73">
        <f t="shared" si="59"/>
        <v>0</v>
      </c>
      <c r="AA46" s="65"/>
      <c r="AB46" s="74" t="s">
        <v>1948</v>
      </c>
      <c r="AC46" s="73">
        <f t="shared" si="59"/>
        <v>0</v>
      </c>
      <c r="AD46" s="65"/>
      <c r="AE46" s="74" t="s">
        <v>1947</v>
      </c>
      <c r="AF46" s="73">
        <f t="shared" si="59"/>
        <v>0</v>
      </c>
      <c r="AG46" s="65"/>
      <c r="AH46" s="74" t="s">
        <v>1949</v>
      </c>
      <c r="AI46" s="73">
        <f t="shared" si="59"/>
        <v>0</v>
      </c>
      <c r="AJ46" s="65"/>
      <c r="AK46" s="74" t="s">
        <v>2036</v>
      </c>
      <c r="AL46" s="73">
        <f t="shared" si="59"/>
        <v>0</v>
      </c>
      <c r="AM46" s="65"/>
      <c r="AN46" s="74" t="s">
        <v>1950</v>
      </c>
      <c r="AO46" s="73">
        <f t="shared" si="59"/>
        <v>0</v>
      </c>
      <c r="AP46" s="65"/>
      <c r="AQ46" s="74" t="s">
        <v>1941</v>
      </c>
      <c r="AR46" s="73">
        <f t="shared" si="59"/>
        <v>0</v>
      </c>
      <c r="AS46" s="65"/>
      <c r="AT46" s="74" t="s">
        <v>1950</v>
      </c>
      <c r="AU46" s="73">
        <f t="shared" si="59"/>
        <v>0</v>
      </c>
      <c r="AV46" s="65"/>
      <c r="AW46" s="74" t="s">
        <v>1949</v>
      </c>
      <c r="AX46" s="73">
        <f t="shared" si="59"/>
        <v>0</v>
      </c>
      <c r="AY46" s="65"/>
      <c r="AZ46" s="74" t="s">
        <v>1949</v>
      </c>
      <c r="BA46" s="73">
        <f t="shared" si="59"/>
        <v>0</v>
      </c>
      <c r="BB46" s="65"/>
      <c r="BC46" s="74" t="s">
        <v>1950</v>
      </c>
      <c r="BD46" s="73">
        <f t="shared" si="59"/>
        <v>0</v>
      </c>
      <c r="BE46" s="65"/>
      <c r="BF46" s="74" t="s">
        <v>1950</v>
      </c>
      <c r="BG46" s="73">
        <f t="shared" si="59"/>
        <v>0</v>
      </c>
      <c r="BH46" s="65"/>
      <c r="BI46" s="74" t="s">
        <v>1949</v>
      </c>
      <c r="BJ46" s="73">
        <f t="shared" si="59"/>
        <v>0</v>
      </c>
      <c r="BK46" s="65"/>
      <c r="BL46" s="74" t="s">
        <v>1947</v>
      </c>
      <c r="BM46" s="73">
        <f t="shared" si="59"/>
        <v>0</v>
      </c>
      <c r="BN46" s="65"/>
      <c r="BO46" s="74" t="s">
        <v>1949</v>
      </c>
      <c r="BP46" s="73">
        <f t="shared" si="59"/>
        <v>0</v>
      </c>
      <c r="BQ46" s="65"/>
      <c r="BR46" s="74" t="s">
        <v>2036</v>
      </c>
      <c r="BS46" s="73">
        <f t="shared" si="59"/>
        <v>0</v>
      </c>
      <c r="BT46" s="65"/>
      <c r="BU46" s="74" t="s">
        <v>1950</v>
      </c>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10</v>
      </c>
      <c r="E47" s="111"/>
      <c r="F47" s="445">
        <f t="shared" si="47"/>
        <v>7</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1941</v>
      </c>
      <c r="T47" s="73">
        <f t="shared" si="48"/>
        <v>0</v>
      </c>
      <c r="U47" s="65"/>
      <c r="V47" s="74" t="s">
        <v>1997</v>
      </c>
      <c r="W47" s="73">
        <f t="shared" si="58"/>
        <v>0</v>
      </c>
      <c r="X47" s="65"/>
      <c r="Y47" s="74" t="s">
        <v>1949</v>
      </c>
      <c r="Z47" s="73">
        <f t="shared" si="59"/>
        <v>0</v>
      </c>
      <c r="AA47" s="65"/>
      <c r="AB47" s="74" t="s">
        <v>1942</v>
      </c>
      <c r="AC47" s="73">
        <f t="shared" si="59"/>
        <v>0</v>
      </c>
      <c r="AD47" s="65"/>
      <c r="AE47" s="74" t="s">
        <v>1951</v>
      </c>
      <c r="AF47" s="73">
        <f t="shared" si="59"/>
        <v>0</v>
      </c>
      <c r="AG47" s="65"/>
      <c r="AH47" s="74" t="s">
        <v>1942</v>
      </c>
      <c r="AI47" s="73">
        <f t="shared" si="59"/>
        <v>0</v>
      </c>
      <c r="AJ47" s="65"/>
      <c r="AK47" s="74" t="s">
        <v>1948</v>
      </c>
      <c r="AL47" s="73">
        <f t="shared" si="59"/>
        <v>0</v>
      </c>
      <c r="AM47" s="65"/>
      <c r="AN47" s="74" t="s">
        <v>1942</v>
      </c>
      <c r="AO47" s="73">
        <f t="shared" si="59"/>
        <v>0</v>
      </c>
      <c r="AP47" s="65"/>
      <c r="AQ47" s="74" t="s">
        <v>1944</v>
      </c>
      <c r="AR47" s="73">
        <f t="shared" si="59"/>
        <v>0</v>
      </c>
      <c r="AS47" s="65"/>
      <c r="AT47" s="74" t="s">
        <v>1954</v>
      </c>
      <c r="AU47" s="73">
        <f t="shared" si="59"/>
        <v>0</v>
      </c>
      <c r="AV47" s="65"/>
      <c r="AW47" s="74" t="s">
        <v>1948</v>
      </c>
      <c r="AX47" s="73">
        <f t="shared" si="59"/>
        <v>0</v>
      </c>
      <c r="AY47" s="65"/>
      <c r="AZ47" s="74" t="s">
        <v>1942</v>
      </c>
      <c r="BA47" s="73">
        <f t="shared" si="59"/>
        <v>0</v>
      </c>
      <c r="BB47" s="65"/>
      <c r="BC47" s="74" t="s">
        <v>1945</v>
      </c>
      <c r="BD47" s="73">
        <f t="shared" si="59"/>
        <v>0</v>
      </c>
      <c r="BE47" s="65"/>
      <c r="BF47" s="74" t="s">
        <v>1942</v>
      </c>
      <c r="BG47" s="73">
        <f t="shared" si="59"/>
        <v>0</v>
      </c>
      <c r="BH47" s="65"/>
      <c r="BI47" s="74" t="s">
        <v>1943</v>
      </c>
      <c r="BJ47" s="73">
        <f t="shared" si="59"/>
        <v>0</v>
      </c>
      <c r="BK47" s="65"/>
      <c r="BL47" s="74" t="s">
        <v>1944</v>
      </c>
      <c r="BM47" s="73">
        <f t="shared" si="59"/>
        <v>0</v>
      </c>
      <c r="BN47" s="65"/>
      <c r="BO47" s="74" t="s">
        <v>1942</v>
      </c>
      <c r="BP47" s="73">
        <f t="shared" si="59"/>
        <v>0</v>
      </c>
      <c r="BQ47" s="65"/>
      <c r="BR47" s="74" t="s">
        <v>1942</v>
      </c>
      <c r="BS47" s="73">
        <f t="shared" si="59"/>
        <v>0</v>
      </c>
      <c r="BT47" s="65"/>
      <c r="BU47" s="74" t="s">
        <v>1942</v>
      </c>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7</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1948</v>
      </c>
      <c r="T48" s="73">
        <f t="shared" si="48"/>
        <v>0</v>
      </c>
      <c r="U48" s="65"/>
      <c r="V48" s="74" t="s">
        <v>1948</v>
      </c>
      <c r="W48" s="73">
        <f t="shared" si="58"/>
        <v>0</v>
      </c>
      <c r="X48" s="65"/>
      <c r="Y48" s="74" t="s">
        <v>1944</v>
      </c>
      <c r="Z48" s="73">
        <f t="shared" si="59"/>
        <v>0</v>
      </c>
      <c r="AA48" s="65"/>
      <c r="AB48" s="74" t="s">
        <v>1945</v>
      </c>
      <c r="AC48" s="73">
        <f t="shared" si="59"/>
        <v>0</v>
      </c>
      <c r="AD48" s="65"/>
      <c r="AE48" s="74" t="s">
        <v>1996</v>
      </c>
      <c r="AF48" s="73">
        <f t="shared" si="59"/>
        <v>0</v>
      </c>
      <c r="AG48" s="65"/>
      <c r="AH48" s="74" t="s">
        <v>1948</v>
      </c>
      <c r="AI48" s="73">
        <f t="shared" si="59"/>
        <v>0</v>
      </c>
      <c r="AJ48" s="65"/>
      <c r="AK48" s="74" t="s">
        <v>1942</v>
      </c>
      <c r="AL48" s="73">
        <f t="shared" si="59"/>
        <v>0</v>
      </c>
      <c r="AM48" s="65"/>
      <c r="AN48" s="74" t="s">
        <v>1948</v>
      </c>
      <c r="AO48" s="73">
        <f t="shared" si="59"/>
        <v>0</v>
      </c>
      <c r="AP48" s="65"/>
      <c r="AQ48" s="74" t="s">
        <v>1941</v>
      </c>
      <c r="AR48" s="73">
        <f t="shared" si="59"/>
        <v>0</v>
      </c>
      <c r="AS48" s="65"/>
      <c r="AT48" s="74" t="s">
        <v>1945</v>
      </c>
      <c r="AU48" s="73">
        <f t="shared" si="59"/>
        <v>0</v>
      </c>
      <c r="AV48" s="65"/>
      <c r="AW48" s="74" t="s">
        <v>1948</v>
      </c>
      <c r="AX48" s="73">
        <f t="shared" si="59"/>
        <v>0</v>
      </c>
      <c r="AY48" s="65"/>
      <c r="AZ48" s="74" t="s">
        <v>1946</v>
      </c>
      <c r="BA48" s="73">
        <f t="shared" si="59"/>
        <v>0</v>
      </c>
      <c r="BB48" s="65"/>
      <c r="BC48" s="74" t="s">
        <v>1945</v>
      </c>
      <c r="BD48" s="73">
        <f t="shared" si="59"/>
        <v>0</v>
      </c>
      <c r="BE48" s="65"/>
      <c r="BF48" s="74" t="s">
        <v>1945</v>
      </c>
      <c r="BG48" s="73">
        <f t="shared" si="59"/>
        <v>0</v>
      </c>
      <c r="BH48" s="65"/>
      <c r="BI48" s="74" t="s">
        <v>1945</v>
      </c>
      <c r="BJ48" s="73">
        <f t="shared" si="59"/>
        <v>0</v>
      </c>
      <c r="BK48" s="65"/>
      <c r="BL48" s="74" t="s">
        <v>1941</v>
      </c>
      <c r="BM48" s="73">
        <f t="shared" si="59"/>
        <v>0</v>
      </c>
      <c r="BN48" s="65"/>
      <c r="BO48" s="74" t="s">
        <v>1945</v>
      </c>
      <c r="BP48" s="73">
        <f t="shared" si="59"/>
        <v>0</v>
      </c>
      <c r="BQ48" s="65"/>
      <c r="BR48" s="74" t="s">
        <v>1948</v>
      </c>
      <c r="BS48" s="73">
        <f t="shared" si="59"/>
        <v>0</v>
      </c>
      <c r="BT48" s="65"/>
      <c r="BU48" s="74" t="s">
        <v>1948</v>
      </c>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v>0.1</v>
      </c>
      <c r="E49" s="89"/>
      <c r="F49" s="445">
        <f t="shared" si="47"/>
        <v>7</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1954</v>
      </c>
      <c r="T49" s="73">
        <f t="shared" si="48"/>
        <v>0</v>
      </c>
      <c r="U49" s="65"/>
      <c r="V49" s="74" t="s">
        <v>1943</v>
      </c>
      <c r="W49" s="73">
        <f t="shared" si="58"/>
        <v>0</v>
      </c>
      <c r="X49" s="65"/>
      <c r="Y49" s="74" t="s">
        <v>1951</v>
      </c>
      <c r="Z49" s="73">
        <f t="shared" si="59"/>
        <v>0</v>
      </c>
      <c r="AA49" s="65"/>
      <c r="AB49" s="74" t="s">
        <v>1946</v>
      </c>
      <c r="AC49" s="73">
        <f t="shared" si="59"/>
        <v>0</v>
      </c>
      <c r="AD49" s="65"/>
      <c r="AE49" s="74" t="s">
        <v>1942</v>
      </c>
      <c r="AF49" s="73">
        <f t="shared" si="59"/>
        <v>0</v>
      </c>
      <c r="AG49" s="65"/>
      <c r="AH49" s="74" t="s">
        <v>1943</v>
      </c>
      <c r="AI49" s="73">
        <f t="shared" si="59"/>
        <v>0</v>
      </c>
      <c r="AJ49" s="65"/>
      <c r="AK49" s="74" t="s">
        <v>1944</v>
      </c>
      <c r="AL49" s="73">
        <f t="shared" si="59"/>
        <v>0</v>
      </c>
      <c r="AM49" s="65"/>
      <c r="AN49" s="74" t="s">
        <v>1942</v>
      </c>
      <c r="AO49" s="73">
        <f t="shared" si="59"/>
        <v>0</v>
      </c>
      <c r="AP49" s="65"/>
      <c r="AQ49" s="74" t="s">
        <v>1942</v>
      </c>
      <c r="AR49" s="73">
        <f t="shared" si="59"/>
        <v>0</v>
      </c>
      <c r="AS49" s="65"/>
      <c r="AT49" s="74" t="s">
        <v>1954</v>
      </c>
      <c r="AU49" s="73">
        <f t="shared" si="59"/>
        <v>0</v>
      </c>
      <c r="AV49" s="65"/>
      <c r="AW49" s="74" t="s">
        <v>1954</v>
      </c>
      <c r="AX49" s="73">
        <f t="shared" si="59"/>
        <v>0</v>
      </c>
      <c r="AY49" s="65"/>
      <c r="AZ49" s="74" t="s">
        <v>1946</v>
      </c>
      <c r="BA49" s="73">
        <f t="shared" si="59"/>
        <v>0</v>
      </c>
      <c r="BB49" s="65"/>
      <c r="BC49" s="74" t="s">
        <v>1952</v>
      </c>
      <c r="BD49" s="73">
        <f t="shared" si="59"/>
        <v>0</v>
      </c>
      <c r="BE49" s="65"/>
      <c r="BF49" s="74" t="s">
        <v>1946</v>
      </c>
      <c r="BG49" s="73">
        <f t="shared" si="59"/>
        <v>0</v>
      </c>
      <c r="BH49" s="65"/>
      <c r="BI49" s="74" t="s">
        <v>1952</v>
      </c>
      <c r="BJ49" s="73">
        <f t="shared" si="59"/>
        <v>0</v>
      </c>
      <c r="BK49" s="65"/>
      <c r="BL49" s="74" t="s">
        <v>1952</v>
      </c>
      <c r="BM49" s="73">
        <f t="shared" si="59"/>
        <v>0</v>
      </c>
      <c r="BN49" s="65"/>
      <c r="BO49" s="74" t="s">
        <v>1952</v>
      </c>
      <c r="BP49" s="73">
        <f t="shared" si="59"/>
        <v>0</v>
      </c>
      <c r="BQ49" s="65"/>
      <c r="BR49" s="74" t="s">
        <v>1942</v>
      </c>
      <c r="BS49" s="73">
        <f t="shared" si="59"/>
        <v>0</v>
      </c>
      <c r="BT49" s="65"/>
      <c r="BU49" s="74" t="s">
        <v>1943</v>
      </c>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0.1</v>
      </c>
      <c r="E50" s="89"/>
      <c r="F50" s="445">
        <f t="shared" si="47"/>
        <v>7</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1945</v>
      </c>
      <c r="T50" s="73">
        <f t="shared" si="48"/>
        <v>0</v>
      </c>
      <c r="U50" s="65"/>
      <c r="V50" s="74" t="s">
        <v>1949</v>
      </c>
      <c r="W50" s="73">
        <f t="shared" si="58"/>
        <v>0</v>
      </c>
      <c r="X50" s="65"/>
      <c r="Y50" s="74" t="s">
        <v>2037</v>
      </c>
      <c r="Z50" s="73">
        <f t="shared" si="59"/>
        <v>0</v>
      </c>
      <c r="AA50" s="65"/>
      <c r="AB50" s="74" t="s">
        <v>1948</v>
      </c>
      <c r="AC50" s="73">
        <f t="shared" si="59"/>
        <v>0</v>
      </c>
      <c r="AD50" s="65"/>
      <c r="AE50" s="74" t="s">
        <v>2036</v>
      </c>
      <c r="AF50" s="73">
        <f t="shared" si="59"/>
        <v>0</v>
      </c>
      <c r="AG50" s="65"/>
      <c r="AH50" s="74" t="s">
        <v>1948</v>
      </c>
      <c r="AI50" s="73">
        <f t="shared" si="59"/>
        <v>0</v>
      </c>
      <c r="AJ50" s="65"/>
      <c r="AK50" s="74" t="s">
        <v>1947</v>
      </c>
      <c r="AL50" s="73">
        <f t="shared" si="59"/>
        <v>0</v>
      </c>
      <c r="AM50" s="65"/>
      <c r="AN50" s="74" t="s">
        <v>1948</v>
      </c>
      <c r="AO50" s="73">
        <f t="shared" si="59"/>
        <v>0</v>
      </c>
      <c r="AP50" s="65"/>
      <c r="AQ50" s="74" t="s">
        <v>1949</v>
      </c>
      <c r="AR50" s="73">
        <f t="shared" si="59"/>
        <v>0</v>
      </c>
      <c r="AS50" s="65"/>
      <c r="AT50" s="74" t="s">
        <v>1945</v>
      </c>
      <c r="AU50" s="73">
        <f t="shared" si="59"/>
        <v>0</v>
      </c>
      <c r="AV50" s="65"/>
      <c r="AW50" s="74" t="s">
        <v>2036</v>
      </c>
      <c r="AX50" s="73">
        <f t="shared" si="59"/>
        <v>0</v>
      </c>
      <c r="AY50" s="65"/>
      <c r="AZ50" s="74" t="s">
        <v>1950</v>
      </c>
      <c r="BA50" s="73">
        <f t="shared" si="59"/>
        <v>0</v>
      </c>
      <c r="BB50" s="65"/>
      <c r="BC50" s="74" t="s">
        <v>1941</v>
      </c>
      <c r="BD50" s="73">
        <f t="shared" si="59"/>
        <v>0</v>
      </c>
      <c r="BE50" s="65"/>
      <c r="BF50" s="74" t="s">
        <v>1950</v>
      </c>
      <c r="BG50" s="73">
        <f t="shared" si="59"/>
        <v>0</v>
      </c>
      <c r="BH50" s="65"/>
      <c r="BI50" s="74" t="s">
        <v>1945</v>
      </c>
      <c r="BJ50" s="73">
        <f t="shared" si="59"/>
        <v>0</v>
      </c>
      <c r="BK50" s="65"/>
      <c r="BL50" s="74" t="s">
        <v>1941</v>
      </c>
      <c r="BM50" s="73">
        <f t="shared" si="59"/>
        <v>0</v>
      </c>
      <c r="BN50" s="65"/>
      <c r="BO50" s="74" t="s">
        <v>1949</v>
      </c>
      <c r="BP50" s="73">
        <f t="shared" si="59"/>
        <v>0</v>
      </c>
      <c r="BQ50" s="65"/>
      <c r="BR50" s="74" t="s">
        <v>1941</v>
      </c>
      <c r="BS50" s="73">
        <f t="shared" si="59"/>
        <v>0</v>
      </c>
      <c r="BT50" s="65"/>
      <c r="BU50" s="74" t="s">
        <v>1950</v>
      </c>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7</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1945</v>
      </c>
      <c r="T51" s="73">
        <f t="shared" si="48"/>
        <v>0</v>
      </c>
      <c r="U51" s="65"/>
      <c r="V51" s="74" t="s">
        <v>1949</v>
      </c>
      <c r="W51" s="73">
        <f t="shared" si="58"/>
        <v>0</v>
      </c>
      <c r="X51" s="65"/>
      <c r="Y51" s="74" t="s">
        <v>1944</v>
      </c>
      <c r="Z51" s="73">
        <f t="shared" si="59"/>
        <v>0</v>
      </c>
      <c r="AA51" s="65"/>
      <c r="AB51" s="74" t="s">
        <v>1948</v>
      </c>
      <c r="AC51" s="73">
        <f t="shared" si="59"/>
        <v>0</v>
      </c>
      <c r="AD51" s="65"/>
      <c r="AE51" s="74" t="s">
        <v>1950</v>
      </c>
      <c r="AF51" s="73">
        <f t="shared" si="59"/>
        <v>0</v>
      </c>
      <c r="AG51" s="65"/>
      <c r="AH51" s="74" t="s">
        <v>1948</v>
      </c>
      <c r="AI51" s="73">
        <f t="shared" si="59"/>
        <v>0</v>
      </c>
      <c r="AJ51" s="65"/>
      <c r="AK51" s="74" t="s">
        <v>1949</v>
      </c>
      <c r="AL51" s="73">
        <f t="shared" si="59"/>
        <v>0</v>
      </c>
      <c r="AM51" s="65"/>
      <c r="AN51" s="74" t="s">
        <v>1949</v>
      </c>
      <c r="AO51" s="73">
        <f t="shared" si="59"/>
        <v>0</v>
      </c>
      <c r="AP51" s="65"/>
      <c r="AQ51" s="74" t="s">
        <v>1945</v>
      </c>
      <c r="AR51" s="73">
        <f t="shared" si="59"/>
        <v>0</v>
      </c>
      <c r="AS51" s="65"/>
      <c r="AT51" s="74" t="s">
        <v>1945</v>
      </c>
      <c r="AU51" s="73">
        <f t="shared" si="59"/>
        <v>0</v>
      </c>
      <c r="AV51" s="65"/>
      <c r="AW51" s="74" t="s">
        <v>1949</v>
      </c>
      <c r="AX51" s="73">
        <f t="shared" si="59"/>
        <v>0</v>
      </c>
      <c r="AY51" s="65"/>
      <c r="AZ51" s="74" t="s">
        <v>1942</v>
      </c>
      <c r="BA51" s="73">
        <f t="shared" si="59"/>
        <v>0</v>
      </c>
      <c r="BB51" s="65"/>
      <c r="BC51" s="74" t="s">
        <v>1942</v>
      </c>
      <c r="BD51" s="73">
        <f t="shared" si="59"/>
        <v>0</v>
      </c>
      <c r="BE51" s="65"/>
      <c r="BF51" s="74" t="s">
        <v>1945</v>
      </c>
      <c r="BG51" s="73">
        <f t="shared" si="59"/>
        <v>0</v>
      </c>
      <c r="BH51" s="65"/>
      <c r="BI51" s="74" t="s">
        <v>1942</v>
      </c>
      <c r="BJ51" s="73">
        <f t="shared" si="59"/>
        <v>0</v>
      </c>
      <c r="BK51" s="65"/>
      <c r="BL51" s="74" t="s">
        <v>1948</v>
      </c>
      <c r="BM51" s="73">
        <f t="shared" si="59"/>
        <v>0</v>
      </c>
      <c r="BN51" s="65"/>
      <c r="BO51" s="74" t="s">
        <v>1945</v>
      </c>
      <c r="BP51" s="73">
        <f t="shared" si="59"/>
        <v>0</v>
      </c>
      <c r="BQ51" s="65"/>
      <c r="BR51" s="74" t="s">
        <v>1949</v>
      </c>
      <c r="BS51" s="73">
        <f t="shared" si="59"/>
        <v>0</v>
      </c>
      <c r="BT51" s="65"/>
      <c r="BU51" s="74" t="s">
        <v>1948</v>
      </c>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7</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1949</v>
      </c>
      <c r="W52" s="73">
        <f t="shared" si="58"/>
        <v>0</v>
      </c>
      <c r="X52" s="65"/>
      <c r="Y52" s="74" t="s">
        <v>1941</v>
      </c>
      <c r="Z52" s="73">
        <f t="shared" si="59"/>
        <v>0</v>
      </c>
      <c r="AA52" s="65"/>
      <c r="AB52" s="74" t="s">
        <v>1948</v>
      </c>
      <c r="AC52" s="73">
        <f t="shared" si="59"/>
        <v>0</v>
      </c>
      <c r="AD52" s="65"/>
      <c r="AE52" s="74" t="s">
        <v>1997</v>
      </c>
      <c r="AF52" s="73">
        <f t="shared" si="59"/>
        <v>0</v>
      </c>
      <c r="AG52" s="65"/>
      <c r="AH52" s="74" t="s">
        <v>1949</v>
      </c>
      <c r="AI52" s="73">
        <f t="shared" si="59"/>
        <v>0</v>
      </c>
      <c r="AJ52" s="65"/>
      <c r="AK52" s="74" t="s">
        <v>1949</v>
      </c>
      <c r="AL52" s="73">
        <f t="shared" si="59"/>
        <v>0</v>
      </c>
      <c r="AM52" s="65"/>
      <c r="AN52" s="74" t="s">
        <v>1949</v>
      </c>
      <c r="AO52" s="73">
        <f t="shared" si="59"/>
        <v>0</v>
      </c>
      <c r="AP52" s="65"/>
      <c r="AQ52" s="74" t="s">
        <v>1948</v>
      </c>
      <c r="AR52" s="73">
        <f t="shared" si="59"/>
        <v>0</v>
      </c>
      <c r="AS52" s="65"/>
      <c r="AT52" s="74" t="s">
        <v>1952</v>
      </c>
      <c r="AU52" s="73">
        <f t="shared" si="59"/>
        <v>0</v>
      </c>
      <c r="AV52" s="65"/>
      <c r="AW52" s="74" t="s">
        <v>1945</v>
      </c>
      <c r="AX52" s="73">
        <f t="shared" si="59"/>
        <v>0</v>
      </c>
      <c r="AY52" s="65"/>
      <c r="AZ52" s="74" t="s">
        <v>1942</v>
      </c>
      <c r="BA52" s="73">
        <f t="shared" si="59"/>
        <v>0</v>
      </c>
      <c r="BB52" s="65"/>
      <c r="BC52" s="74" t="s">
        <v>1945</v>
      </c>
      <c r="BD52" s="73">
        <f t="shared" si="59"/>
        <v>0</v>
      </c>
      <c r="BE52" s="65"/>
      <c r="BF52" s="74" t="s">
        <v>1949</v>
      </c>
      <c r="BG52" s="73">
        <f t="shared" si="59"/>
        <v>0</v>
      </c>
      <c r="BH52" s="65"/>
      <c r="BI52" s="74" t="s">
        <v>1945</v>
      </c>
      <c r="BJ52" s="73">
        <f t="shared" si="59"/>
        <v>0</v>
      </c>
      <c r="BK52" s="65"/>
      <c r="BL52" s="74" t="s">
        <v>1942</v>
      </c>
      <c r="BM52" s="73">
        <f t="shared" si="59"/>
        <v>0</v>
      </c>
      <c r="BN52" s="65"/>
      <c r="BO52" s="74" t="s">
        <v>1942</v>
      </c>
      <c r="BP52" s="73">
        <f t="shared" si="59"/>
        <v>0</v>
      </c>
      <c r="BQ52" s="65"/>
      <c r="BR52" s="74" t="s">
        <v>1949</v>
      </c>
      <c r="BS52" s="73">
        <f t="shared" si="59"/>
        <v>0</v>
      </c>
      <c r="BT52" s="65"/>
      <c r="BU52" s="74" t="s">
        <v>1949</v>
      </c>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7</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1951</v>
      </c>
      <c r="T53" s="79">
        <f t="shared" si="48"/>
        <v>0</v>
      </c>
      <c r="U53" s="65"/>
      <c r="V53" s="78" t="s">
        <v>1942</v>
      </c>
      <c r="W53" s="79">
        <f t="shared" si="58"/>
        <v>0</v>
      </c>
      <c r="X53" s="65"/>
      <c r="Y53" s="78" t="s">
        <v>1955</v>
      </c>
      <c r="Z53" s="79">
        <f t="shared" si="59"/>
        <v>0</v>
      </c>
      <c r="AA53" s="65"/>
      <c r="AB53" s="78" t="s">
        <v>1946</v>
      </c>
      <c r="AC53" s="79">
        <f t="shared" si="59"/>
        <v>0</v>
      </c>
      <c r="AD53" s="65"/>
      <c r="AE53" s="78" t="s">
        <v>1951</v>
      </c>
      <c r="AF53" s="79">
        <f t="shared" si="59"/>
        <v>0</v>
      </c>
      <c r="AG53" s="65"/>
      <c r="AH53" s="78" t="s">
        <v>1942</v>
      </c>
      <c r="AI53" s="79">
        <f t="shared" si="59"/>
        <v>0</v>
      </c>
      <c r="AJ53" s="65"/>
      <c r="AK53" s="78" t="s">
        <v>1946</v>
      </c>
      <c r="AL53" s="79">
        <f t="shared" si="59"/>
        <v>0</v>
      </c>
      <c r="AM53" s="65"/>
      <c r="AN53" s="78" t="s">
        <v>1942</v>
      </c>
      <c r="AO53" s="79">
        <f t="shared" si="59"/>
        <v>0</v>
      </c>
      <c r="AP53" s="65"/>
      <c r="AQ53" s="78" t="s">
        <v>1952</v>
      </c>
      <c r="AR53" s="79">
        <f t="shared" si="59"/>
        <v>0</v>
      </c>
      <c r="AS53" s="65"/>
      <c r="AT53" s="78" t="s">
        <v>1952</v>
      </c>
      <c r="AU53" s="79">
        <f t="shared" si="59"/>
        <v>0</v>
      </c>
      <c r="AV53" s="65"/>
      <c r="AW53" s="78" t="s">
        <v>1952</v>
      </c>
      <c r="AX53" s="79">
        <f t="shared" si="59"/>
        <v>0</v>
      </c>
      <c r="AY53" s="65"/>
      <c r="AZ53" s="78" t="s">
        <v>1943</v>
      </c>
      <c r="BA53" s="79">
        <f t="shared" si="59"/>
        <v>0</v>
      </c>
      <c r="BB53" s="65"/>
      <c r="BC53" s="78" t="s">
        <v>1951</v>
      </c>
      <c r="BD53" s="79">
        <f t="shared" si="59"/>
        <v>0</v>
      </c>
      <c r="BE53" s="65"/>
      <c r="BF53" s="78" t="s">
        <v>1943</v>
      </c>
      <c r="BG53" s="79">
        <f t="shared" si="59"/>
        <v>0</v>
      </c>
      <c r="BH53" s="65"/>
      <c r="BI53" s="78" t="s">
        <v>1952</v>
      </c>
      <c r="BJ53" s="79">
        <f t="shared" si="59"/>
        <v>0</v>
      </c>
      <c r="BK53" s="65"/>
      <c r="BL53" s="78" t="s">
        <v>1952</v>
      </c>
      <c r="BM53" s="79">
        <f t="shared" si="59"/>
        <v>0</v>
      </c>
      <c r="BN53" s="65"/>
      <c r="BO53" s="78" t="s">
        <v>1952</v>
      </c>
      <c r="BP53" s="79">
        <f t="shared" si="59"/>
        <v>0</v>
      </c>
      <c r="BQ53" s="65"/>
      <c r="BR53" s="78" t="s">
        <v>1946</v>
      </c>
      <c r="BS53" s="79">
        <f t="shared" si="59"/>
        <v>0</v>
      </c>
      <c r="BT53" s="65"/>
      <c r="BU53" s="78" t="s">
        <v>1943</v>
      </c>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7</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1952</v>
      </c>
      <c r="T54" s="77">
        <f t="shared" si="48"/>
        <v>0</v>
      </c>
      <c r="U54" s="65"/>
      <c r="V54" s="76" t="s">
        <v>1946</v>
      </c>
      <c r="W54" s="77">
        <f t="shared" si="58"/>
        <v>0</v>
      </c>
      <c r="X54" s="65"/>
      <c r="Y54" s="76" t="s">
        <v>1942</v>
      </c>
      <c r="Z54" s="77">
        <f t="shared" si="59"/>
        <v>0</v>
      </c>
      <c r="AA54" s="65"/>
      <c r="AB54" s="76" t="s">
        <v>1942</v>
      </c>
      <c r="AC54" s="77">
        <f t="shared" si="59"/>
        <v>0</v>
      </c>
      <c r="AD54" s="65"/>
      <c r="AE54" s="76" t="s">
        <v>1941</v>
      </c>
      <c r="AF54" s="77">
        <f t="shared" si="59"/>
        <v>0</v>
      </c>
      <c r="AG54" s="65"/>
      <c r="AH54" s="76" t="s">
        <v>1946</v>
      </c>
      <c r="AI54" s="77">
        <f t="shared" si="59"/>
        <v>0</v>
      </c>
      <c r="AJ54" s="65"/>
      <c r="AK54" s="76" t="s">
        <v>1942</v>
      </c>
      <c r="AL54" s="77">
        <f t="shared" si="59"/>
        <v>0</v>
      </c>
      <c r="AM54" s="65"/>
      <c r="AN54" s="76" t="s">
        <v>1946</v>
      </c>
      <c r="AO54" s="77">
        <f t="shared" si="59"/>
        <v>0</v>
      </c>
      <c r="AP54" s="65"/>
      <c r="AQ54" s="76" t="s">
        <v>1946</v>
      </c>
      <c r="AR54" s="77">
        <f t="shared" si="59"/>
        <v>0</v>
      </c>
      <c r="AS54" s="65"/>
      <c r="AT54" s="76" t="s">
        <v>1942</v>
      </c>
      <c r="AU54" s="77">
        <f t="shared" si="59"/>
        <v>0</v>
      </c>
      <c r="AV54" s="65"/>
      <c r="AW54" s="76" t="s">
        <v>1946</v>
      </c>
      <c r="AX54" s="77">
        <f t="shared" si="59"/>
        <v>0</v>
      </c>
      <c r="AY54" s="65"/>
      <c r="AZ54" s="76" t="s">
        <v>1942</v>
      </c>
      <c r="BA54" s="77">
        <f t="shared" si="59"/>
        <v>0</v>
      </c>
      <c r="BB54" s="65"/>
      <c r="BC54" s="76" t="s">
        <v>1942</v>
      </c>
      <c r="BD54" s="77">
        <f t="shared" si="59"/>
        <v>0</v>
      </c>
      <c r="BE54" s="65"/>
      <c r="BF54" s="76" t="s">
        <v>1942</v>
      </c>
      <c r="BG54" s="77">
        <f t="shared" si="59"/>
        <v>0</v>
      </c>
      <c r="BH54" s="65"/>
      <c r="BI54" s="76" t="s">
        <v>1943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1946</v>
      </c>
      <c r="BM54" s="77">
        <f t="shared" si="60"/>
        <v>0</v>
      </c>
      <c r="BN54" s="65"/>
      <c r="BO54" s="76" t="s">
        <v>1942</v>
      </c>
      <c r="BP54" s="77">
        <f t="shared" si="60"/>
        <v>0</v>
      </c>
      <c r="BQ54" s="65"/>
      <c r="BR54" s="76" t="s">
        <v>1946</v>
      </c>
      <c r="BS54" s="77">
        <f t="shared" si="60"/>
        <v>0</v>
      </c>
      <c r="BT54" s="65"/>
      <c r="BU54" s="76" t="s">
        <v>1946</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7</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1946</v>
      </c>
      <c r="T55" s="73">
        <f t="shared" si="48"/>
        <v>0</v>
      </c>
      <c r="U55" s="65"/>
      <c r="V55" s="74" t="s">
        <v>1946</v>
      </c>
      <c r="W55" s="73">
        <f t="shared" si="58"/>
        <v>0</v>
      </c>
      <c r="X55" s="65"/>
      <c r="Y55" s="74" t="s">
        <v>1946</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1942</v>
      </c>
      <c r="AC55" s="73">
        <f t="shared" si="61"/>
        <v>0</v>
      </c>
      <c r="AD55" s="65"/>
      <c r="AE55" s="74" t="s">
        <v>1948</v>
      </c>
      <c r="AF55" s="73">
        <f t="shared" si="61"/>
        <v>0</v>
      </c>
      <c r="AG55" s="65"/>
      <c r="AH55" s="74" t="s">
        <v>1952</v>
      </c>
      <c r="AI55" s="73">
        <f t="shared" si="61"/>
        <v>0</v>
      </c>
      <c r="AJ55" s="65"/>
      <c r="AK55" s="74" t="s">
        <v>1951</v>
      </c>
      <c r="AL55" s="73">
        <f t="shared" si="61"/>
        <v>0</v>
      </c>
      <c r="AM55" s="65"/>
      <c r="AN55" s="74" t="s">
        <v>1942</v>
      </c>
      <c r="AO55" s="73">
        <f t="shared" si="61"/>
        <v>0</v>
      </c>
      <c r="AP55" s="65"/>
      <c r="AQ55" s="74" t="s">
        <v>1952</v>
      </c>
      <c r="AR55" s="73">
        <f t="shared" si="61"/>
        <v>0</v>
      </c>
      <c r="AS55" s="65"/>
      <c r="AT55" s="74" t="s">
        <v>1952</v>
      </c>
      <c r="AU55" s="73">
        <f t="shared" si="61"/>
        <v>0</v>
      </c>
      <c r="AV55" s="65"/>
      <c r="AW55" s="74" t="s">
        <v>1951</v>
      </c>
      <c r="AX55" s="73">
        <f t="shared" si="61"/>
        <v>0</v>
      </c>
      <c r="AY55" s="65"/>
      <c r="AZ55" s="74" t="s">
        <v>1943</v>
      </c>
      <c r="BA55" s="73">
        <f t="shared" si="61"/>
        <v>0</v>
      </c>
      <c r="BB55" s="65"/>
      <c r="BC55" s="74" t="s">
        <v>1954</v>
      </c>
      <c r="BD55" s="73">
        <f t="shared" si="61"/>
        <v>0</v>
      </c>
      <c r="BE55" s="65"/>
      <c r="BF55" s="74" t="s">
        <v>1946</v>
      </c>
      <c r="BG55" s="73">
        <f t="shared" si="61"/>
        <v>0</v>
      </c>
      <c r="BH55" s="65"/>
      <c r="BI55" s="74" t="s">
        <v>1952</v>
      </c>
      <c r="BJ55" s="73">
        <f t="shared" si="61"/>
        <v>0</v>
      </c>
      <c r="BK55" s="65"/>
      <c r="BL55" s="74" t="s">
        <v>1942</v>
      </c>
      <c r="BM55" s="73">
        <f t="shared" si="61"/>
        <v>0</v>
      </c>
      <c r="BN55" s="65"/>
      <c r="BO55" s="74" t="s">
        <v>1946</v>
      </c>
      <c r="BP55" s="73">
        <f t="shared" si="61"/>
        <v>0</v>
      </c>
      <c r="BQ55" s="65"/>
      <c r="BR55" s="74" t="s">
        <v>1942</v>
      </c>
      <c r="BS55" s="73">
        <f t="shared" si="61"/>
        <v>0</v>
      </c>
      <c r="BT55" s="65"/>
      <c r="BU55" s="74" t="s">
        <v>1942</v>
      </c>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1190</v>
      </c>
      <c r="E56" s="111"/>
      <c r="F56" s="445">
        <f t="shared" si="47"/>
        <v>7</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1942</v>
      </c>
      <c r="W56" s="73">
        <f t="shared" si="58"/>
        <v>0</v>
      </c>
      <c r="X56" s="65"/>
      <c r="Y56" s="74" t="s">
        <v>1948</v>
      </c>
      <c r="Z56" s="73">
        <f t="shared" si="61"/>
        <v>0</v>
      </c>
      <c r="AA56" s="65"/>
      <c r="AB56" s="74" t="s">
        <v>1942</v>
      </c>
      <c r="AC56" s="73">
        <f t="shared" si="61"/>
        <v>0</v>
      </c>
      <c r="AD56" s="65"/>
      <c r="AE56" s="74" t="s">
        <v>1943</v>
      </c>
      <c r="AF56" s="73">
        <f t="shared" si="61"/>
        <v>0</v>
      </c>
      <c r="AG56" s="65"/>
      <c r="AH56" s="74" t="s">
        <v>1948</v>
      </c>
      <c r="AI56" s="73">
        <f t="shared" si="61"/>
        <v>0</v>
      </c>
      <c r="AJ56" s="65"/>
      <c r="AK56" s="74" t="s">
        <v>1948</v>
      </c>
      <c r="AL56" s="73">
        <f t="shared" si="61"/>
        <v>0</v>
      </c>
      <c r="AM56" s="65"/>
      <c r="AN56" s="74" t="s">
        <v>1942</v>
      </c>
      <c r="AO56" s="73">
        <f t="shared" si="61"/>
        <v>0</v>
      </c>
      <c r="AP56" s="65"/>
      <c r="AQ56" s="74" t="s">
        <v>1942</v>
      </c>
      <c r="AR56" s="73">
        <f t="shared" si="61"/>
        <v>0</v>
      </c>
      <c r="AS56" s="65"/>
      <c r="AT56" s="74" t="s">
        <v>1954</v>
      </c>
      <c r="AU56" s="73">
        <f t="shared" si="61"/>
        <v>0</v>
      </c>
      <c r="AV56" s="65"/>
      <c r="AW56" s="74" t="s">
        <v>1948</v>
      </c>
      <c r="AX56" s="73">
        <f t="shared" si="61"/>
        <v>0</v>
      </c>
      <c r="AY56" s="65"/>
      <c r="AZ56" s="74" t="s">
        <v>1942</v>
      </c>
      <c r="BA56" s="73">
        <f t="shared" si="61"/>
        <v>0</v>
      </c>
      <c r="BB56" s="65"/>
      <c r="BC56" s="74" t="s">
        <v>1945</v>
      </c>
      <c r="BD56" s="73">
        <f t="shared" si="61"/>
        <v>0</v>
      </c>
      <c r="BE56" s="65"/>
      <c r="BF56" s="74" t="s">
        <v>1942</v>
      </c>
      <c r="BG56" s="73">
        <f t="shared" si="61"/>
        <v>0</v>
      </c>
      <c r="BH56" s="65"/>
      <c r="BI56" s="74" t="s">
        <v>1949</v>
      </c>
      <c r="BJ56" s="73">
        <f t="shared" si="61"/>
        <v>0</v>
      </c>
      <c r="BK56" s="65"/>
      <c r="BL56" s="74" t="s">
        <v>1948</v>
      </c>
      <c r="BM56" s="73">
        <f t="shared" si="61"/>
        <v>0</v>
      </c>
      <c r="BN56" s="65"/>
      <c r="BO56" s="74" t="s">
        <v>1952</v>
      </c>
      <c r="BP56" s="73">
        <f t="shared" si="61"/>
        <v>0</v>
      </c>
      <c r="BQ56" s="65"/>
      <c r="BR56" s="74" t="s">
        <v>1942</v>
      </c>
      <c r="BS56" s="73">
        <f t="shared" si="61"/>
        <v>0</v>
      </c>
      <c r="BT56" s="65"/>
      <c r="BU56" s="74" t="s">
        <v>1942</v>
      </c>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816</v>
      </c>
      <c r="E57" s="111"/>
      <c r="F57" s="445">
        <f t="shared" si="47"/>
        <v>7</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1942</v>
      </c>
      <c r="T57" s="73">
        <f t="shared" si="48"/>
        <v>0</v>
      </c>
      <c r="U57" s="65"/>
      <c r="V57" s="74" t="s">
        <v>1945</v>
      </c>
      <c r="W57" s="73">
        <f t="shared" si="58"/>
        <v>0</v>
      </c>
      <c r="X57" s="65"/>
      <c r="Y57" s="74" t="s">
        <v>1949</v>
      </c>
      <c r="Z57" s="73">
        <f t="shared" si="61"/>
        <v>0</v>
      </c>
      <c r="AA57" s="65"/>
      <c r="AB57" s="74" t="s">
        <v>1948</v>
      </c>
      <c r="AC57" s="73">
        <f t="shared" si="61"/>
        <v>0</v>
      </c>
      <c r="AD57" s="65"/>
      <c r="AE57" s="74" t="s">
        <v>1942</v>
      </c>
      <c r="AF57" s="73">
        <f t="shared" si="61"/>
        <v>0</v>
      </c>
      <c r="AG57" s="65"/>
      <c r="AH57" s="74" t="s">
        <v>1948</v>
      </c>
      <c r="AI57" s="73">
        <f t="shared" si="61"/>
        <v>0</v>
      </c>
      <c r="AJ57" s="65"/>
      <c r="AK57" s="74" t="s">
        <v>1948</v>
      </c>
      <c r="AL57" s="73">
        <f t="shared" si="61"/>
        <v>0</v>
      </c>
      <c r="AM57" s="65"/>
      <c r="AN57" s="74" t="s">
        <v>1946</v>
      </c>
      <c r="AO57" s="73">
        <f t="shared" si="61"/>
        <v>0</v>
      </c>
      <c r="AP57" s="65"/>
      <c r="AQ57" s="74" t="s">
        <v>1945</v>
      </c>
      <c r="AR57" s="73">
        <f t="shared" si="61"/>
        <v>0</v>
      </c>
      <c r="AS57" s="65"/>
      <c r="AT57" s="74" t="s">
        <v>1945</v>
      </c>
      <c r="AU57" s="73">
        <f t="shared" si="61"/>
        <v>0</v>
      </c>
      <c r="AV57" s="65"/>
      <c r="AW57" s="74" t="s">
        <v>1952</v>
      </c>
      <c r="AX57" s="73">
        <f t="shared" si="61"/>
        <v>0</v>
      </c>
      <c r="AY57" s="65"/>
      <c r="AZ57" s="74" t="s">
        <v>1942</v>
      </c>
      <c r="BA57" s="73">
        <f t="shared" si="61"/>
        <v>0</v>
      </c>
      <c r="BB57" s="65"/>
      <c r="BC57" s="74" t="s">
        <v>1945</v>
      </c>
      <c r="BD57" s="73">
        <f t="shared" si="61"/>
        <v>0</v>
      </c>
      <c r="BE57" s="65"/>
      <c r="BF57" s="74" t="s">
        <v>1948</v>
      </c>
      <c r="BG57" s="73">
        <f t="shared" si="61"/>
        <v>0</v>
      </c>
      <c r="BH57" s="65"/>
      <c r="BI57" s="74" t="s">
        <v>1945</v>
      </c>
      <c r="BJ57" s="73">
        <f t="shared" si="61"/>
        <v>0</v>
      </c>
      <c r="BK57" s="65"/>
      <c r="BL57" s="74" t="s">
        <v>1948</v>
      </c>
      <c r="BM57" s="73">
        <f t="shared" si="61"/>
        <v>0</v>
      </c>
      <c r="BN57" s="65"/>
      <c r="BO57" s="74" t="s">
        <v>1942</v>
      </c>
      <c r="BP57" s="73">
        <f t="shared" si="61"/>
        <v>0</v>
      </c>
      <c r="BQ57" s="65"/>
      <c r="BR57" s="74" t="s">
        <v>1948</v>
      </c>
      <c r="BS57" s="73">
        <f t="shared" si="61"/>
        <v>0</v>
      </c>
      <c r="BT57" s="65"/>
      <c r="BU57" s="74" t="s">
        <v>1949</v>
      </c>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640</v>
      </c>
      <c r="E58" s="111"/>
      <c r="F58" s="445">
        <f t="shared" si="47"/>
        <v>7</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1946</v>
      </c>
      <c r="T58" s="73">
        <f t="shared" si="48"/>
        <v>0</v>
      </c>
      <c r="U58" s="65"/>
      <c r="V58" s="74" t="s">
        <v>1943</v>
      </c>
      <c r="W58" s="73">
        <f t="shared" si="58"/>
        <v>0</v>
      </c>
      <c r="X58" s="65"/>
      <c r="Y58" s="74" t="s">
        <v>1951</v>
      </c>
      <c r="Z58" s="73">
        <f t="shared" si="61"/>
        <v>0</v>
      </c>
      <c r="AA58" s="65"/>
      <c r="AB58" s="74" t="s">
        <v>1946</v>
      </c>
      <c r="AC58" s="73">
        <f t="shared" si="61"/>
        <v>0</v>
      </c>
      <c r="AD58" s="65"/>
      <c r="AE58" s="74" t="s">
        <v>1944</v>
      </c>
      <c r="AF58" s="73">
        <f t="shared" si="61"/>
        <v>0</v>
      </c>
      <c r="AG58" s="65"/>
      <c r="AH58" s="74" t="s">
        <v>1946</v>
      </c>
      <c r="AI58" s="73">
        <f t="shared" si="61"/>
        <v>0</v>
      </c>
      <c r="AJ58" s="65"/>
      <c r="AK58" s="74" t="s">
        <v>1943</v>
      </c>
      <c r="AL58" s="73">
        <f t="shared" si="61"/>
        <v>0</v>
      </c>
      <c r="AM58" s="65"/>
      <c r="AN58" s="74" t="s">
        <v>1943</v>
      </c>
      <c r="AO58" s="73">
        <f t="shared" si="61"/>
        <v>0</v>
      </c>
      <c r="AP58" s="65"/>
      <c r="AQ58" s="74" t="s">
        <v>1951</v>
      </c>
      <c r="AR58" s="73">
        <f t="shared" si="61"/>
        <v>0</v>
      </c>
      <c r="AS58" s="65"/>
      <c r="AT58" s="74" t="s">
        <v>1946</v>
      </c>
      <c r="AU58" s="73">
        <f t="shared" si="61"/>
        <v>0</v>
      </c>
      <c r="AV58" s="65"/>
      <c r="AW58" s="74" t="s">
        <v>1951</v>
      </c>
      <c r="AX58" s="73">
        <f t="shared" si="61"/>
        <v>0</v>
      </c>
      <c r="AY58" s="65"/>
      <c r="AZ58" s="74" t="s">
        <v>1942</v>
      </c>
      <c r="BA58" s="73">
        <f t="shared" si="61"/>
        <v>0</v>
      </c>
      <c r="BB58" s="65"/>
      <c r="BC58" s="74" t="s">
        <v>1942</v>
      </c>
      <c r="BD58" s="73">
        <f t="shared" si="61"/>
        <v>0</v>
      </c>
      <c r="BE58" s="65"/>
      <c r="BF58" s="74" t="s">
        <v>1943</v>
      </c>
      <c r="BG58" s="73">
        <f t="shared" si="61"/>
        <v>0</v>
      </c>
      <c r="BH58" s="65"/>
      <c r="BI58" s="74" t="s">
        <v>1943</v>
      </c>
      <c r="BJ58" s="73">
        <f t="shared" si="61"/>
        <v>0</v>
      </c>
      <c r="BK58" s="65"/>
      <c r="BL58" s="74" t="s">
        <v>1942</v>
      </c>
      <c r="BM58" s="73">
        <f t="shared" si="61"/>
        <v>0</v>
      </c>
      <c r="BN58" s="65"/>
      <c r="BO58" s="74" t="s">
        <v>1942</v>
      </c>
      <c r="BP58" s="73">
        <f t="shared" si="61"/>
        <v>0</v>
      </c>
      <c r="BQ58" s="65"/>
      <c r="BR58" s="74" t="s">
        <v>1946</v>
      </c>
      <c r="BS58" s="73">
        <f t="shared" si="61"/>
        <v>0</v>
      </c>
      <c r="BT58" s="65"/>
      <c r="BU58" s="74" t="s">
        <v>1943</v>
      </c>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460</v>
      </c>
      <c r="E59" s="111"/>
      <c r="F59" s="445">
        <f t="shared" si="47"/>
        <v>7</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1950</v>
      </c>
      <c r="T59" s="73">
        <f t="shared" si="48"/>
        <v>0</v>
      </c>
      <c r="U59" s="65"/>
      <c r="V59" s="74" t="s">
        <v>1948</v>
      </c>
      <c r="W59" s="73">
        <f t="shared" si="58"/>
        <v>0</v>
      </c>
      <c r="X59" s="65"/>
      <c r="Y59" s="74" t="s">
        <v>2036</v>
      </c>
      <c r="Z59" s="73">
        <f t="shared" si="61"/>
        <v>0</v>
      </c>
      <c r="AA59" s="65"/>
      <c r="AB59" s="74" t="s">
        <v>1949</v>
      </c>
      <c r="AC59" s="73">
        <f t="shared" si="61"/>
        <v>0</v>
      </c>
      <c r="AD59" s="65"/>
      <c r="AE59" s="74" t="s">
        <v>1950</v>
      </c>
      <c r="AF59" s="73">
        <f t="shared" si="61"/>
        <v>0</v>
      </c>
      <c r="AG59" s="65"/>
      <c r="AH59" s="74" t="s">
        <v>1948</v>
      </c>
      <c r="AI59" s="73">
        <f t="shared" si="61"/>
        <v>0</v>
      </c>
      <c r="AJ59" s="65"/>
      <c r="AK59" s="74" t="s">
        <v>1950</v>
      </c>
      <c r="AL59" s="73">
        <f t="shared" si="61"/>
        <v>0</v>
      </c>
      <c r="AM59" s="65"/>
      <c r="AN59" s="74" t="s">
        <v>1948</v>
      </c>
      <c r="AO59" s="73">
        <f t="shared" si="61"/>
        <v>0</v>
      </c>
      <c r="AP59" s="65"/>
      <c r="AQ59" s="74" t="s">
        <v>1950</v>
      </c>
      <c r="AR59" s="73">
        <f t="shared" si="61"/>
        <v>0</v>
      </c>
      <c r="AS59" s="65"/>
      <c r="AT59" s="74" t="s">
        <v>1950</v>
      </c>
      <c r="AU59" s="73">
        <f t="shared" si="61"/>
        <v>0</v>
      </c>
      <c r="AV59" s="65"/>
      <c r="AW59" s="74" t="s">
        <v>2036</v>
      </c>
      <c r="AX59" s="73">
        <f t="shared" si="61"/>
        <v>0</v>
      </c>
      <c r="AY59" s="65"/>
      <c r="AZ59" s="74" t="s">
        <v>1949</v>
      </c>
      <c r="BA59" s="73">
        <f t="shared" si="61"/>
        <v>0</v>
      </c>
      <c r="BB59" s="65"/>
      <c r="BC59" s="74" t="s">
        <v>1941</v>
      </c>
      <c r="BD59" s="73">
        <f t="shared" si="61"/>
        <v>0</v>
      </c>
      <c r="BE59" s="65"/>
      <c r="BF59" s="74" t="s">
        <v>1949</v>
      </c>
      <c r="BG59" s="73">
        <f t="shared" si="61"/>
        <v>0</v>
      </c>
      <c r="BH59" s="65"/>
      <c r="BI59" s="74" t="s">
        <v>1950</v>
      </c>
      <c r="BJ59" s="73">
        <f t="shared" si="61"/>
        <v>0</v>
      </c>
      <c r="BK59" s="65"/>
      <c r="BL59" s="74" t="s">
        <v>1950</v>
      </c>
      <c r="BM59" s="73">
        <f t="shared" si="61"/>
        <v>0</v>
      </c>
      <c r="BN59" s="65"/>
      <c r="BO59" s="74" t="s">
        <v>1950</v>
      </c>
      <c r="BP59" s="73">
        <f t="shared" si="61"/>
        <v>0</v>
      </c>
      <c r="BQ59" s="65"/>
      <c r="BR59" s="74" t="s">
        <v>1950</v>
      </c>
      <c r="BS59" s="73">
        <f t="shared" si="61"/>
        <v>0</v>
      </c>
      <c r="BT59" s="65"/>
      <c r="BU59" s="74" t="s">
        <v>1950</v>
      </c>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520</v>
      </c>
      <c r="E60" s="111"/>
      <c r="F60" s="445">
        <f t="shared" si="47"/>
        <v>7</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1942</v>
      </c>
      <c r="T60" s="77">
        <f t="shared" si="48"/>
        <v>0</v>
      </c>
      <c r="U60" s="65"/>
      <c r="V60" s="76" t="s">
        <v>1944</v>
      </c>
      <c r="W60" s="77">
        <f t="shared" si="58"/>
        <v>0</v>
      </c>
      <c r="X60" s="65"/>
      <c r="Y60" s="76" t="s">
        <v>1949</v>
      </c>
      <c r="Z60" s="77">
        <f t="shared" si="61"/>
        <v>0</v>
      </c>
      <c r="AA60" s="65"/>
      <c r="AB60" s="76" t="s">
        <v>1946</v>
      </c>
      <c r="AC60" s="77">
        <f t="shared" si="61"/>
        <v>0</v>
      </c>
      <c r="AD60" s="65"/>
      <c r="AE60" s="76" t="s">
        <v>1946</v>
      </c>
      <c r="AF60" s="77">
        <f t="shared" si="61"/>
        <v>0</v>
      </c>
      <c r="AG60" s="65"/>
      <c r="AH60" s="76" t="s">
        <v>1946</v>
      </c>
      <c r="AI60" s="77">
        <f t="shared" si="61"/>
        <v>0</v>
      </c>
      <c r="AJ60" s="65"/>
      <c r="AK60" s="76" t="s">
        <v>1948</v>
      </c>
      <c r="AL60" s="77">
        <f t="shared" si="61"/>
        <v>0</v>
      </c>
      <c r="AM60" s="65"/>
      <c r="AN60" s="76" t="s">
        <v>1946</v>
      </c>
      <c r="AO60" s="77">
        <f t="shared" si="61"/>
        <v>0</v>
      </c>
      <c r="AP60" s="65"/>
      <c r="AQ60" s="76" t="s">
        <v>1944</v>
      </c>
      <c r="AR60" s="77">
        <f t="shared" si="61"/>
        <v>0</v>
      </c>
      <c r="AS60" s="65"/>
      <c r="AT60" s="76" t="s">
        <v>1945</v>
      </c>
      <c r="AU60" s="77">
        <f t="shared" si="61"/>
        <v>0</v>
      </c>
      <c r="AV60" s="65"/>
      <c r="AW60" s="76" t="s">
        <v>1941</v>
      </c>
      <c r="AX60" s="77">
        <f t="shared" si="61"/>
        <v>0</v>
      </c>
      <c r="AY60" s="65"/>
      <c r="AZ60" s="76" t="s">
        <v>1942</v>
      </c>
      <c r="BA60" s="77">
        <f t="shared" si="61"/>
        <v>0</v>
      </c>
      <c r="BB60" s="65"/>
      <c r="BC60" s="76" t="s">
        <v>1945</v>
      </c>
      <c r="BD60" s="77">
        <f t="shared" si="61"/>
        <v>0</v>
      </c>
      <c r="BE60" s="65"/>
      <c r="BF60" s="76" t="s">
        <v>1946</v>
      </c>
      <c r="BG60" s="77">
        <f t="shared" si="61"/>
        <v>0</v>
      </c>
      <c r="BH60" s="65"/>
      <c r="BI60" s="76" t="s">
        <v>1945</v>
      </c>
      <c r="BJ60" s="77">
        <f t="shared" si="61"/>
        <v>0</v>
      </c>
      <c r="BK60" s="65"/>
      <c r="BL60" s="76" t="s">
        <v>1942</v>
      </c>
      <c r="BM60" s="77">
        <f t="shared" si="61"/>
        <v>0</v>
      </c>
      <c r="BN60" s="65"/>
      <c r="BO60" s="76" t="s">
        <v>1942</v>
      </c>
      <c r="BP60" s="77">
        <f t="shared" si="61"/>
        <v>0</v>
      </c>
      <c r="BQ60" s="65"/>
      <c r="BR60" s="76" t="s">
        <v>1946</v>
      </c>
      <c r="BS60" s="77">
        <f t="shared" si="61"/>
        <v>0</v>
      </c>
      <c r="BT60" s="65"/>
      <c r="BU60" s="76" t="s">
        <v>1942</v>
      </c>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675</v>
      </c>
      <c r="E61" s="111"/>
      <c r="F61" s="445">
        <f t="shared" si="47"/>
        <v>7</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1945</v>
      </c>
      <c r="W61" s="73">
        <f t="shared" si="58"/>
        <v>0</v>
      </c>
      <c r="X61" s="65"/>
      <c r="Y61" s="74" t="s">
        <v>1941</v>
      </c>
      <c r="Z61" s="73">
        <f t="shared" si="61"/>
        <v>0</v>
      </c>
      <c r="AA61" s="65"/>
      <c r="AB61" s="74" t="s">
        <v>1946</v>
      </c>
      <c r="AC61" s="73">
        <f t="shared" si="61"/>
        <v>0</v>
      </c>
      <c r="AD61" s="65"/>
      <c r="AE61" s="74" t="s">
        <v>1996</v>
      </c>
      <c r="AF61" s="73">
        <f t="shared" si="61"/>
        <v>0</v>
      </c>
      <c r="AG61" s="65"/>
      <c r="AH61" s="74" t="s">
        <v>1948</v>
      </c>
      <c r="AI61" s="73">
        <f t="shared" si="61"/>
        <v>0</v>
      </c>
      <c r="AJ61" s="65"/>
      <c r="AK61" s="74" t="s">
        <v>1944</v>
      </c>
      <c r="AL61" s="73">
        <f t="shared" si="61"/>
        <v>0</v>
      </c>
      <c r="AM61" s="65"/>
      <c r="AN61" s="74" t="s">
        <v>1946</v>
      </c>
      <c r="AO61" s="73">
        <f t="shared" si="61"/>
        <v>0</v>
      </c>
      <c r="AP61" s="65"/>
      <c r="AQ61" s="74" t="s">
        <v>1941</v>
      </c>
      <c r="AR61" s="73">
        <f t="shared" si="61"/>
        <v>0</v>
      </c>
      <c r="AS61" s="65"/>
      <c r="AT61" s="74" t="s">
        <v>1954</v>
      </c>
      <c r="AU61" s="73">
        <f t="shared" si="61"/>
        <v>0</v>
      </c>
      <c r="AV61" s="65"/>
      <c r="AW61" s="74" t="s">
        <v>1948</v>
      </c>
      <c r="AX61" s="73">
        <f t="shared" si="61"/>
        <v>0</v>
      </c>
      <c r="AY61" s="65"/>
      <c r="AZ61" s="74" t="s">
        <v>1948</v>
      </c>
      <c r="BA61" s="73">
        <f t="shared" si="61"/>
        <v>0</v>
      </c>
      <c r="BB61" s="65"/>
      <c r="BC61" s="74" t="s">
        <v>1952</v>
      </c>
      <c r="BD61" s="73">
        <f t="shared" si="61"/>
        <v>0</v>
      </c>
      <c r="BE61" s="65"/>
      <c r="BF61" s="74" t="s">
        <v>1942</v>
      </c>
      <c r="BG61" s="73">
        <f t="shared" si="61"/>
        <v>0</v>
      </c>
      <c r="BH61" s="65"/>
      <c r="BI61" s="74" t="s">
        <v>1945</v>
      </c>
      <c r="BJ61" s="73">
        <f t="shared" si="61"/>
        <v>0</v>
      </c>
      <c r="BK61" s="65"/>
      <c r="BL61" s="74" t="s">
        <v>1948</v>
      </c>
      <c r="BM61" s="73">
        <f t="shared" si="61"/>
        <v>0</v>
      </c>
      <c r="BN61" s="65"/>
      <c r="BO61" s="74" t="s">
        <v>1948</v>
      </c>
      <c r="BP61" s="73">
        <f t="shared" si="61"/>
        <v>0</v>
      </c>
      <c r="BQ61" s="65"/>
      <c r="BR61" s="74" t="s">
        <v>1948</v>
      </c>
      <c r="BS61" s="73">
        <f t="shared" si="61"/>
        <v>0</v>
      </c>
      <c r="BT61" s="65"/>
      <c r="BU61" s="74" t="s">
        <v>1948</v>
      </c>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345</v>
      </c>
      <c r="E62" s="111"/>
      <c r="F62" s="445">
        <f t="shared" si="47"/>
        <v>7</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1951</v>
      </c>
      <c r="W62" s="73">
        <f t="shared" si="58"/>
        <v>0</v>
      </c>
      <c r="X62" s="65"/>
      <c r="Y62" s="74" t="s">
        <v>2038</v>
      </c>
      <c r="Z62" s="73">
        <f t="shared" si="61"/>
        <v>0</v>
      </c>
      <c r="AA62" s="65"/>
      <c r="AB62" s="74" t="s">
        <v>1946</v>
      </c>
      <c r="AC62" s="73">
        <f t="shared" si="61"/>
        <v>0</v>
      </c>
      <c r="AD62" s="65"/>
      <c r="AE62" s="74" t="s">
        <v>1955</v>
      </c>
      <c r="AF62" s="73">
        <f t="shared" si="61"/>
        <v>0</v>
      </c>
      <c r="AG62" s="65"/>
      <c r="AH62" s="74" t="s">
        <v>1943</v>
      </c>
      <c r="AI62" s="73">
        <f t="shared" si="61"/>
        <v>0</v>
      </c>
      <c r="AJ62" s="65"/>
      <c r="AK62" s="74" t="s">
        <v>1951</v>
      </c>
      <c r="AL62" s="73">
        <f t="shared" si="61"/>
        <v>0</v>
      </c>
      <c r="AM62" s="65"/>
      <c r="AN62" s="74" t="s">
        <v>1948</v>
      </c>
      <c r="AO62" s="73">
        <f t="shared" si="61"/>
        <v>0</v>
      </c>
      <c r="AP62" s="65"/>
      <c r="AQ62" s="74" t="s">
        <v>1943</v>
      </c>
      <c r="AR62" s="73">
        <f t="shared" si="61"/>
        <v>0</v>
      </c>
      <c r="AS62" s="65"/>
      <c r="AT62" s="74" t="s">
        <v>1954</v>
      </c>
      <c r="AU62" s="73">
        <f t="shared" si="61"/>
        <v>0</v>
      </c>
      <c r="AV62" s="65"/>
      <c r="AW62" s="74" t="s">
        <v>1943</v>
      </c>
      <c r="AX62" s="73">
        <f t="shared" si="61"/>
        <v>0</v>
      </c>
      <c r="AY62" s="65"/>
      <c r="AZ62" s="74" t="s">
        <v>1943</v>
      </c>
      <c r="BA62" s="73">
        <f t="shared" si="61"/>
        <v>0</v>
      </c>
      <c r="BB62" s="65"/>
      <c r="BC62" s="74" t="s">
        <v>1943</v>
      </c>
      <c r="BD62" s="73">
        <f t="shared" si="61"/>
        <v>0</v>
      </c>
      <c r="BE62" s="65"/>
      <c r="BF62" s="74" t="s">
        <v>1943</v>
      </c>
      <c r="BG62" s="73">
        <f t="shared" si="61"/>
        <v>0</v>
      </c>
      <c r="BH62" s="65"/>
      <c r="BI62" s="74" t="s">
        <v>1955</v>
      </c>
      <c r="BJ62" s="73">
        <f t="shared" si="61"/>
        <v>0</v>
      </c>
      <c r="BK62" s="65"/>
      <c r="BL62" s="74" t="s">
        <v>1951</v>
      </c>
      <c r="BM62" s="73">
        <f t="shared" si="61"/>
        <v>0</v>
      </c>
      <c r="BN62" s="65"/>
      <c r="BO62" s="74" t="s">
        <v>2038</v>
      </c>
      <c r="BP62" s="73">
        <f t="shared" si="61"/>
        <v>0</v>
      </c>
      <c r="BQ62" s="65"/>
      <c r="BR62" s="74" t="s">
        <v>1943</v>
      </c>
      <c r="BS62" s="73">
        <f t="shared" si="61"/>
        <v>0</v>
      </c>
      <c r="BT62" s="65"/>
      <c r="BU62" s="74" t="s">
        <v>1943</v>
      </c>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21</v>
      </c>
      <c r="G63" s="445">
        <f ca="1">VLOOKUP(H63,Equipos!$Q$1:$R$25,2,0)</f>
        <v>16</v>
      </c>
      <c r="H63" s="446">
        <f ca="1">TRUNC(INDEX(WORLDCUP!$X$4:$X$147,MATCH(ADMIN!K63,WORLDCUP!$DT$4:$DT$147,0))+INDEX(Horarios!$R$3:$R$86,MATCH(Horarios!$C$3,Horarios!$P$3:$P$86,0))/24)</f>
        <v>46199</v>
      </c>
      <c r="I63" s="48">
        <v>3</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1942</v>
      </c>
      <c r="T63" s="73">
        <f t="shared" si="48"/>
        <v>0</v>
      </c>
      <c r="U63" s="65"/>
      <c r="V63" s="74" t="s">
        <v>1945</v>
      </c>
      <c r="W63" s="73">
        <f t="shared" si="58"/>
        <v>0</v>
      </c>
      <c r="X63" s="65"/>
      <c r="Y63" s="74" t="s">
        <v>1944</v>
      </c>
      <c r="Z63" s="73">
        <f t="shared" si="61"/>
        <v>0</v>
      </c>
      <c r="AA63" s="65"/>
      <c r="AB63" s="74" t="s">
        <v>1942</v>
      </c>
      <c r="AC63" s="73">
        <f t="shared" si="61"/>
        <v>0</v>
      </c>
      <c r="AD63" s="65"/>
      <c r="AE63" s="74" t="s">
        <v>1946</v>
      </c>
      <c r="AF63" s="73">
        <f t="shared" si="61"/>
        <v>0</v>
      </c>
      <c r="AG63" s="65"/>
      <c r="AH63" s="74" t="s">
        <v>1946</v>
      </c>
      <c r="AI63" s="73">
        <f t="shared" si="61"/>
        <v>0</v>
      </c>
      <c r="AJ63" s="65"/>
      <c r="AK63" s="74" t="s">
        <v>1951</v>
      </c>
      <c r="AL63" s="73">
        <f t="shared" si="61"/>
        <v>0</v>
      </c>
      <c r="AM63" s="65"/>
      <c r="AN63" s="74" t="s">
        <v>1946</v>
      </c>
      <c r="AO63" s="73">
        <f t="shared" si="61"/>
        <v>0</v>
      </c>
      <c r="AP63" s="65"/>
      <c r="AQ63" s="74" t="s">
        <v>1946</v>
      </c>
      <c r="AR63" s="73">
        <f t="shared" si="61"/>
        <v>0</v>
      </c>
      <c r="AS63" s="65"/>
      <c r="AT63" s="74" t="s">
        <v>1955</v>
      </c>
      <c r="AU63" s="73">
        <f t="shared" si="61"/>
        <v>0</v>
      </c>
      <c r="AV63" s="65"/>
      <c r="AW63" s="74" t="s">
        <v>1955</v>
      </c>
      <c r="AX63" s="73">
        <f t="shared" si="61"/>
        <v>0</v>
      </c>
      <c r="AY63" s="65"/>
      <c r="AZ63" s="74" t="s">
        <v>1946</v>
      </c>
      <c r="BA63" s="73">
        <f t="shared" si="61"/>
        <v>0</v>
      </c>
      <c r="BB63" s="65"/>
      <c r="BC63" s="74" t="s">
        <v>1942</v>
      </c>
      <c r="BD63" s="73">
        <f t="shared" si="61"/>
        <v>0</v>
      </c>
      <c r="BE63" s="65"/>
      <c r="BF63" s="74" t="s">
        <v>1946</v>
      </c>
      <c r="BG63" s="73">
        <f t="shared" si="61"/>
        <v>0</v>
      </c>
      <c r="BH63" s="65"/>
      <c r="BI63" s="74" t="s">
        <v>1946</v>
      </c>
      <c r="BJ63" s="73">
        <f t="shared" si="61"/>
        <v>0</v>
      </c>
      <c r="BK63" s="65"/>
      <c r="BL63" s="74" t="s">
        <v>1951</v>
      </c>
      <c r="BM63" s="73">
        <f t="shared" si="61"/>
        <v>0</v>
      </c>
      <c r="BN63" s="65"/>
      <c r="BO63" s="74" t="s">
        <v>1946</v>
      </c>
      <c r="BP63" s="73">
        <f t="shared" si="61"/>
        <v>0</v>
      </c>
      <c r="BQ63" s="65"/>
      <c r="BR63" s="74" t="s">
        <v>1946</v>
      </c>
      <c r="BS63" s="73">
        <f t="shared" si="61"/>
        <v>0</v>
      </c>
      <c r="BT63" s="65"/>
      <c r="BU63" s="74" t="s">
        <v>1946</v>
      </c>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1190</v>
      </c>
      <c r="E64" s="111"/>
      <c r="F64" s="445">
        <f t="shared" si="47"/>
        <v>7</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1944</v>
      </c>
      <c r="T64" s="73">
        <f t="shared" si="48"/>
        <v>0</v>
      </c>
      <c r="U64" s="65"/>
      <c r="V64" s="74" t="s">
        <v>1948</v>
      </c>
      <c r="W64" s="73">
        <f t="shared" si="58"/>
        <v>0</v>
      </c>
      <c r="X64" s="65"/>
      <c r="Y64" s="74" t="s">
        <v>1942</v>
      </c>
      <c r="Z64" s="73">
        <f t="shared" si="61"/>
        <v>0</v>
      </c>
      <c r="AA64" s="65"/>
      <c r="AB64" s="74" t="s">
        <v>1942</v>
      </c>
      <c r="AC64" s="73">
        <f t="shared" si="61"/>
        <v>0</v>
      </c>
      <c r="AD64" s="65"/>
      <c r="AE64" s="74" t="s">
        <v>1997</v>
      </c>
      <c r="AF64" s="73">
        <f t="shared" si="61"/>
        <v>0</v>
      </c>
      <c r="AG64" s="65"/>
      <c r="AH64" s="74" t="s">
        <v>1942</v>
      </c>
      <c r="AI64" s="73">
        <f t="shared" si="61"/>
        <v>0</v>
      </c>
      <c r="AJ64" s="65"/>
      <c r="AK64" s="74" t="s">
        <v>1948</v>
      </c>
      <c r="AL64" s="73">
        <f t="shared" si="61"/>
        <v>0</v>
      </c>
      <c r="AM64" s="65"/>
      <c r="AN64" s="74" t="s">
        <v>1942</v>
      </c>
      <c r="AO64" s="73">
        <f t="shared" si="61"/>
        <v>0</v>
      </c>
      <c r="AP64" s="65"/>
      <c r="AQ64" s="74" t="s">
        <v>1944</v>
      </c>
      <c r="AR64" s="73">
        <f t="shared" si="61"/>
        <v>0</v>
      </c>
      <c r="AS64" s="65"/>
      <c r="AT64" s="74" t="s">
        <v>1946</v>
      </c>
      <c r="AU64" s="73">
        <f t="shared" si="61"/>
        <v>0</v>
      </c>
      <c r="AV64" s="65"/>
      <c r="AW64" s="74" t="s">
        <v>1945</v>
      </c>
      <c r="AX64" s="73">
        <f t="shared" si="61"/>
        <v>0</v>
      </c>
      <c r="AY64" s="65"/>
      <c r="AZ64" s="74" t="s">
        <v>1946</v>
      </c>
      <c r="BA64" s="73">
        <f t="shared" si="61"/>
        <v>0</v>
      </c>
      <c r="BB64" s="65"/>
      <c r="BC64" s="74" t="s">
        <v>1942</v>
      </c>
      <c r="BD64" s="73">
        <f t="shared" si="61"/>
        <v>0</v>
      </c>
      <c r="BE64" s="65"/>
      <c r="BF64" s="74" t="s">
        <v>1942</v>
      </c>
      <c r="BG64" s="73">
        <f t="shared" si="61"/>
        <v>0</v>
      </c>
      <c r="BH64" s="65"/>
      <c r="BI64" s="74" t="s">
        <v>1945</v>
      </c>
      <c r="BJ64" s="73">
        <f t="shared" si="61"/>
        <v>0</v>
      </c>
      <c r="BK64" s="65"/>
      <c r="BL64" s="74" t="s">
        <v>1944</v>
      </c>
      <c r="BM64" s="73">
        <f t="shared" si="61"/>
        <v>0</v>
      </c>
      <c r="BN64" s="65"/>
      <c r="BO64" s="74" t="s">
        <v>1948</v>
      </c>
      <c r="BP64" s="73">
        <f t="shared" si="61"/>
        <v>0</v>
      </c>
      <c r="BQ64" s="65"/>
      <c r="BR64" s="74" t="s">
        <v>1942</v>
      </c>
      <c r="BS64" s="73">
        <f t="shared" si="61"/>
        <v>0</v>
      </c>
      <c r="BT64" s="65"/>
      <c r="BU64" s="74" t="s">
        <v>1942</v>
      </c>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3456</v>
      </c>
      <c r="E65" s="111"/>
      <c r="F65" s="445">
        <f t="shared" si="47"/>
        <v>7</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1946</v>
      </c>
      <c r="T65" s="73">
        <f t="shared" si="48"/>
        <v>0</v>
      </c>
      <c r="U65" s="65"/>
      <c r="V65" s="74" t="s">
        <v>1943</v>
      </c>
      <c r="W65" s="73">
        <f t="shared" si="58"/>
        <v>0</v>
      </c>
      <c r="X65" s="65"/>
      <c r="Y65" s="74" t="s">
        <v>1951</v>
      </c>
      <c r="Z65" s="73">
        <f t="shared" si="61"/>
        <v>0</v>
      </c>
      <c r="AA65" s="65"/>
      <c r="AB65" s="74" t="s">
        <v>1946</v>
      </c>
      <c r="AC65" s="73">
        <f t="shared" si="61"/>
        <v>0</v>
      </c>
      <c r="AD65" s="65"/>
      <c r="AE65" s="74" t="s">
        <v>1955</v>
      </c>
      <c r="AF65" s="73">
        <f t="shared" si="61"/>
        <v>0</v>
      </c>
      <c r="AG65" s="65"/>
      <c r="AH65" s="74" t="s">
        <v>1943</v>
      </c>
      <c r="AI65" s="73">
        <f t="shared" si="61"/>
        <v>0</v>
      </c>
      <c r="AJ65" s="65"/>
      <c r="AK65" s="74" t="s">
        <v>1955</v>
      </c>
      <c r="AL65" s="73">
        <f t="shared" si="61"/>
        <v>0</v>
      </c>
      <c r="AM65" s="65"/>
      <c r="AN65" s="74" t="s">
        <v>1946</v>
      </c>
      <c r="AO65" s="73">
        <f t="shared" si="61"/>
        <v>0</v>
      </c>
      <c r="AP65" s="65"/>
      <c r="AQ65" s="74" t="s">
        <v>1951</v>
      </c>
      <c r="AR65" s="73">
        <f t="shared" si="61"/>
        <v>0</v>
      </c>
      <c r="AS65" s="65"/>
      <c r="AT65" s="74" t="s">
        <v>1952</v>
      </c>
      <c r="AU65" s="73">
        <f t="shared" si="61"/>
        <v>0</v>
      </c>
      <c r="AV65" s="65"/>
      <c r="AW65" s="74" t="s">
        <v>1955</v>
      </c>
      <c r="AX65" s="73">
        <f t="shared" si="61"/>
        <v>0</v>
      </c>
      <c r="AY65" s="65"/>
      <c r="AZ65" s="74" t="s">
        <v>1946</v>
      </c>
      <c r="BA65" s="73">
        <f t="shared" si="61"/>
        <v>0</v>
      </c>
      <c r="BB65" s="65"/>
      <c r="BC65" s="74" t="s">
        <v>1955</v>
      </c>
      <c r="BD65" s="73">
        <f t="shared" si="61"/>
        <v>0</v>
      </c>
      <c r="BE65" s="65"/>
      <c r="BF65" s="74" t="s">
        <v>1943</v>
      </c>
      <c r="BG65" s="73">
        <f t="shared" si="61"/>
        <v>0</v>
      </c>
      <c r="BH65" s="65"/>
      <c r="BI65" s="74" t="s">
        <v>1952</v>
      </c>
      <c r="BJ65" s="73">
        <f t="shared" si="61"/>
        <v>0</v>
      </c>
      <c r="BK65" s="65"/>
      <c r="BL65" s="74" t="s">
        <v>1952</v>
      </c>
      <c r="BM65" s="73">
        <f t="shared" si="61"/>
        <v>0</v>
      </c>
      <c r="BN65" s="65"/>
      <c r="BO65" s="74" t="s">
        <v>1946</v>
      </c>
      <c r="BP65" s="73">
        <f t="shared" si="61"/>
        <v>0</v>
      </c>
      <c r="BQ65" s="65"/>
      <c r="BR65" s="74" t="s">
        <v>1943</v>
      </c>
      <c r="BS65" s="73">
        <f t="shared" si="61"/>
        <v>0</v>
      </c>
      <c r="BT65" s="65"/>
      <c r="BU65" s="74" t="s">
        <v>1955</v>
      </c>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7</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1944</v>
      </c>
      <c r="T66" s="73">
        <f t="shared" si="48"/>
        <v>0</v>
      </c>
      <c r="U66" s="65"/>
      <c r="V66" s="74" t="s">
        <v>1942</v>
      </c>
      <c r="W66" s="73">
        <f t="shared" si="58"/>
        <v>0</v>
      </c>
      <c r="X66" s="65"/>
      <c r="Y66" s="74" t="s">
        <v>1948</v>
      </c>
      <c r="Z66" s="73">
        <f t="shared" si="61"/>
        <v>0</v>
      </c>
      <c r="AA66" s="65"/>
      <c r="AB66" s="74" t="s">
        <v>1942</v>
      </c>
      <c r="AC66" s="73">
        <f t="shared" si="61"/>
        <v>0</v>
      </c>
      <c r="AD66" s="65"/>
      <c r="AE66" s="74" t="s">
        <v>1944</v>
      </c>
      <c r="AF66" s="73">
        <f t="shared" si="61"/>
        <v>0</v>
      </c>
      <c r="AG66" s="65"/>
      <c r="AH66" s="74" t="s">
        <v>1942</v>
      </c>
      <c r="AI66" s="73">
        <f t="shared" si="61"/>
        <v>0</v>
      </c>
      <c r="AJ66" s="65"/>
      <c r="AK66" s="74" t="s">
        <v>1949</v>
      </c>
      <c r="AL66" s="73">
        <f t="shared" si="61"/>
        <v>0</v>
      </c>
      <c r="AM66" s="65"/>
      <c r="AN66" s="74" t="s">
        <v>1952</v>
      </c>
      <c r="AO66" s="73">
        <f t="shared" si="61"/>
        <v>0</v>
      </c>
      <c r="AP66" s="65"/>
      <c r="AQ66" s="74" t="s">
        <v>1942</v>
      </c>
      <c r="AR66" s="73">
        <f t="shared" si="61"/>
        <v>0</v>
      </c>
      <c r="AS66" s="65"/>
      <c r="AT66" s="74" t="s">
        <v>1950</v>
      </c>
      <c r="AU66" s="73">
        <f t="shared" si="61"/>
        <v>0</v>
      </c>
      <c r="AV66" s="65"/>
      <c r="AW66" s="74" t="s">
        <v>1945</v>
      </c>
      <c r="AX66" s="73">
        <f t="shared" si="61"/>
        <v>0</v>
      </c>
      <c r="AY66" s="65"/>
      <c r="AZ66" s="74" t="s">
        <v>1948</v>
      </c>
      <c r="BA66" s="73">
        <f t="shared" si="61"/>
        <v>0</v>
      </c>
      <c r="BB66" s="65"/>
      <c r="BC66" s="74" t="s">
        <v>1945</v>
      </c>
      <c r="BD66" s="73">
        <f t="shared" si="61"/>
        <v>0</v>
      </c>
      <c r="BE66" s="65"/>
      <c r="BF66" s="74" t="s">
        <v>1942</v>
      </c>
      <c r="BG66" s="73">
        <f t="shared" si="61"/>
        <v>0</v>
      </c>
      <c r="BH66" s="65"/>
      <c r="BI66" s="74" t="s">
        <v>1945</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1948</v>
      </c>
      <c r="BM66" s="73">
        <f t="shared" si="62"/>
        <v>0</v>
      </c>
      <c r="BN66" s="65"/>
      <c r="BO66" s="74" t="s">
        <v>1942</v>
      </c>
      <c r="BP66" s="73">
        <f t="shared" si="62"/>
        <v>0</v>
      </c>
      <c r="BQ66" s="65"/>
      <c r="BR66" s="74" t="s">
        <v>1942</v>
      </c>
      <c r="BS66" s="73">
        <f t="shared" si="62"/>
        <v>0</v>
      </c>
      <c r="BT66" s="65"/>
      <c r="BU66" s="74" t="s">
        <v>1942</v>
      </c>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7</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1955</v>
      </c>
      <c r="W67" s="73">
        <f t="shared" si="58"/>
        <v>0</v>
      </c>
      <c r="X67" s="65"/>
      <c r="Y67" s="74" t="s">
        <v>1955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1946</v>
      </c>
      <c r="AC67" s="73">
        <f t="shared" si="63"/>
        <v>0</v>
      </c>
      <c r="AD67" s="65"/>
      <c r="AE67" s="74" t="s">
        <v>1943</v>
      </c>
      <c r="AF67" s="73">
        <f t="shared" si="63"/>
        <v>0</v>
      </c>
      <c r="AG67" s="65"/>
      <c r="AH67" s="74" t="s">
        <v>1943</v>
      </c>
      <c r="AI67" s="73">
        <f t="shared" si="63"/>
        <v>0</v>
      </c>
      <c r="AJ67" s="65"/>
      <c r="AK67" s="74" t="s">
        <v>1951</v>
      </c>
      <c r="AL67" s="73">
        <f t="shared" si="63"/>
        <v>0</v>
      </c>
      <c r="AM67" s="65"/>
      <c r="AN67" s="74" t="s">
        <v>1943</v>
      </c>
      <c r="AO67" s="73">
        <f t="shared" si="63"/>
        <v>0</v>
      </c>
      <c r="AP67" s="65"/>
      <c r="AQ67" s="74" t="s">
        <v>1955</v>
      </c>
      <c r="AR67" s="73">
        <f t="shared" si="63"/>
        <v>0</v>
      </c>
      <c r="AS67" s="65"/>
      <c r="AT67" s="74" t="s">
        <v>1943</v>
      </c>
      <c r="AU67" s="73">
        <f t="shared" si="63"/>
        <v>0</v>
      </c>
      <c r="AV67" s="65"/>
      <c r="AW67" s="74" t="s">
        <v>1952</v>
      </c>
      <c r="AX67" s="73">
        <f t="shared" si="63"/>
        <v>0</v>
      </c>
      <c r="AY67" s="65"/>
      <c r="AZ67" s="74" t="s">
        <v>1942</v>
      </c>
      <c r="BA67" s="73">
        <f t="shared" si="63"/>
        <v>0</v>
      </c>
      <c r="BB67" s="65"/>
      <c r="BC67" s="74" t="s">
        <v>1955</v>
      </c>
      <c r="BD67" s="73">
        <f t="shared" si="63"/>
        <v>0</v>
      </c>
      <c r="BE67" s="65"/>
      <c r="BF67" s="74" t="s">
        <v>1943</v>
      </c>
      <c r="BG67" s="73">
        <f t="shared" si="63"/>
        <v>0</v>
      </c>
      <c r="BH67" s="65"/>
      <c r="BI67" s="74" t="s">
        <v>1955</v>
      </c>
      <c r="BJ67" s="73">
        <f t="shared" si="63"/>
        <v>0</v>
      </c>
      <c r="BK67" s="65"/>
      <c r="BL67" s="74" t="s">
        <v>1995</v>
      </c>
      <c r="BM67" s="73">
        <f t="shared" si="63"/>
        <v>0</v>
      </c>
      <c r="BN67" s="65"/>
      <c r="BO67" s="74" t="s">
        <v>2365</v>
      </c>
      <c r="BP67" s="73">
        <f t="shared" si="63"/>
        <v>0</v>
      </c>
      <c r="BQ67" s="65"/>
      <c r="BR67" s="74" t="s">
        <v>1943</v>
      </c>
      <c r="BS67" s="73">
        <f t="shared" si="63"/>
        <v>0</v>
      </c>
      <c r="BT67" s="65"/>
      <c r="BU67" s="74" t="s">
        <v>1955</v>
      </c>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7</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1952</v>
      </c>
      <c r="T68" s="73">
        <f t="shared" si="48"/>
        <v>0</v>
      </c>
      <c r="U68" s="65"/>
      <c r="V68" s="74" t="s">
        <v>1942</v>
      </c>
      <c r="W68" s="73">
        <f t="shared" si="58"/>
        <v>0</v>
      </c>
      <c r="X68" s="65"/>
      <c r="Y68" s="74" t="s">
        <v>1941</v>
      </c>
      <c r="Z68" s="73">
        <f t="shared" si="63"/>
        <v>0</v>
      </c>
      <c r="AA68" s="65"/>
      <c r="AB68" s="74" t="s">
        <v>1946</v>
      </c>
      <c r="AC68" s="73">
        <f t="shared" si="63"/>
        <v>0</v>
      </c>
      <c r="AD68" s="65"/>
      <c r="AE68" s="74" t="s">
        <v>1944</v>
      </c>
      <c r="AF68" s="73">
        <f t="shared" si="63"/>
        <v>0</v>
      </c>
      <c r="AG68" s="65"/>
      <c r="AH68" s="74" t="s">
        <v>1943</v>
      </c>
      <c r="AI68" s="73">
        <f t="shared" si="63"/>
        <v>0</v>
      </c>
      <c r="AJ68" s="65"/>
      <c r="AK68" s="74" t="s">
        <v>1948</v>
      </c>
      <c r="AL68" s="73">
        <f t="shared" si="63"/>
        <v>0</v>
      </c>
      <c r="AM68" s="65"/>
      <c r="AN68" s="74" t="s">
        <v>1942</v>
      </c>
      <c r="AO68" s="73">
        <f t="shared" si="63"/>
        <v>0</v>
      </c>
      <c r="AP68" s="65"/>
      <c r="AQ68" s="74" t="s">
        <v>1946</v>
      </c>
      <c r="AR68" s="73">
        <f t="shared" si="63"/>
        <v>0</v>
      </c>
      <c r="AS68" s="65"/>
      <c r="AT68" s="74" t="s">
        <v>1954</v>
      </c>
      <c r="AU68" s="73">
        <f t="shared" si="63"/>
        <v>0</v>
      </c>
      <c r="AV68" s="65"/>
      <c r="AW68" s="74" t="s">
        <v>1952</v>
      </c>
      <c r="AX68" s="73">
        <f t="shared" si="63"/>
        <v>0</v>
      </c>
      <c r="AY68" s="65"/>
      <c r="AZ68" s="74" t="s">
        <v>1946</v>
      </c>
      <c r="BA68" s="73">
        <f t="shared" si="63"/>
        <v>0</v>
      </c>
      <c r="BB68" s="65"/>
      <c r="BC68" s="74" t="s">
        <v>1954</v>
      </c>
      <c r="BD68" s="73">
        <f t="shared" si="63"/>
        <v>0</v>
      </c>
      <c r="BE68" s="65"/>
      <c r="BF68" s="74" t="s">
        <v>1942</v>
      </c>
      <c r="BG68" s="73">
        <f t="shared" si="63"/>
        <v>0</v>
      </c>
      <c r="BH68" s="65"/>
      <c r="BI68" s="74" t="s">
        <v>1949</v>
      </c>
      <c r="BJ68" s="73">
        <f t="shared" si="63"/>
        <v>0</v>
      </c>
      <c r="BK68" s="65"/>
      <c r="BL68" s="74" t="s">
        <v>1944</v>
      </c>
      <c r="BM68" s="73">
        <f t="shared" si="63"/>
        <v>0</v>
      </c>
      <c r="BN68" s="65"/>
      <c r="BO68" s="74" t="s">
        <v>1943</v>
      </c>
      <c r="BP68" s="73">
        <f t="shared" si="63"/>
        <v>0</v>
      </c>
      <c r="BQ68" s="65"/>
      <c r="BR68" s="74" t="s">
        <v>1942</v>
      </c>
      <c r="BS68" s="73">
        <f t="shared" si="63"/>
        <v>0</v>
      </c>
      <c r="BT68" s="65"/>
      <c r="BU68" s="74" t="s">
        <v>1942</v>
      </c>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21</v>
      </c>
      <c r="G69" s="445">
        <f ca="1">VLOOKUP(H69,Equipos!$Q$1:$R$25,2,0)</f>
        <v>17</v>
      </c>
      <c r="H69" s="446">
        <f ca="1">TRUNC(INDEX(WORLDCUP!$X$4:$X$147,MATCH(ADMIN!K69,WORLDCUP!$DT$4:$DT$147,0))+INDEX(Horarios!$R$3:$R$86,MATCH(Horarios!$C$3,Horarios!$P$3:$P$86,0))/24)</f>
        <v>46200</v>
      </c>
      <c r="I69" s="48">
        <v>3</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1946</v>
      </c>
      <c r="T69" s="73">
        <f t="shared" si="48"/>
        <v>0</v>
      </c>
      <c r="U69" s="65"/>
      <c r="V69" s="74" t="s">
        <v>1943</v>
      </c>
      <c r="W69" s="73">
        <f t="shared" si="58"/>
        <v>0</v>
      </c>
      <c r="X69" s="65"/>
      <c r="Y69" s="74" t="s">
        <v>1944</v>
      </c>
      <c r="Z69" s="73">
        <f t="shared" si="63"/>
        <v>0</v>
      </c>
      <c r="AA69" s="65"/>
      <c r="AB69" s="74" t="s">
        <v>1942</v>
      </c>
      <c r="AC69" s="73">
        <f t="shared" si="63"/>
        <v>0</v>
      </c>
      <c r="AD69" s="65"/>
      <c r="AE69" s="74" t="s">
        <v>1946</v>
      </c>
      <c r="AF69" s="73">
        <f t="shared" si="63"/>
        <v>0</v>
      </c>
      <c r="AG69" s="65"/>
      <c r="AH69" s="74" t="s">
        <v>1946</v>
      </c>
      <c r="AI69" s="73">
        <f t="shared" si="63"/>
        <v>0</v>
      </c>
      <c r="AJ69" s="65"/>
      <c r="AK69" s="74" t="s">
        <v>1946</v>
      </c>
      <c r="AL69" s="73">
        <f t="shared" si="63"/>
        <v>0</v>
      </c>
      <c r="AM69" s="65"/>
      <c r="AN69" s="74" t="s">
        <v>1946</v>
      </c>
      <c r="AO69" s="73">
        <f t="shared" si="63"/>
        <v>0</v>
      </c>
      <c r="AP69" s="65"/>
      <c r="AQ69" s="74" t="s">
        <v>1994</v>
      </c>
      <c r="AR69" s="73">
        <f t="shared" si="63"/>
        <v>0</v>
      </c>
      <c r="AS69" s="65"/>
      <c r="AT69" s="74" t="s">
        <v>1942</v>
      </c>
      <c r="AU69" s="73">
        <f t="shared" si="63"/>
        <v>0</v>
      </c>
      <c r="AV69" s="65"/>
      <c r="AW69" s="74" t="s">
        <v>1951</v>
      </c>
      <c r="AX69" s="73">
        <f t="shared" si="63"/>
        <v>0</v>
      </c>
      <c r="AY69" s="65"/>
      <c r="AZ69" s="74" t="s">
        <v>1942</v>
      </c>
      <c r="BA69" s="73">
        <f t="shared" si="63"/>
        <v>0</v>
      </c>
      <c r="BB69" s="65"/>
      <c r="BC69" s="74" t="s">
        <v>1946</v>
      </c>
      <c r="BD69" s="73">
        <f t="shared" si="63"/>
        <v>0</v>
      </c>
      <c r="BE69" s="65"/>
      <c r="BF69" s="74" t="s">
        <v>1946</v>
      </c>
      <c r="BG69" s="73">
        <f t="shared" si="63"/>
        <v>0</v>
      </c>
      <c r="BH69" s="65"/>
      <c r="BI69" s="74" t="s">
        <v>1946</v>
      </c>
      <c r="BJ69" s="73">
        <f t="shared" si="63"/>
        <v>0</v>
      </c>
      <c r="BK69" s="65"/>
      <c r="BL69" s="74" t="s">
        <v>1943</v>
      </c>
      <c r="BM69" s="73">
        <f t="shared" si="63"/>
        <v>0</v>
      </c>
      <c r="BN69" s="65"/>
      <c r="BO69" s="74" t="s">
        <v>1952</v>
      </c>
      <c r="BP69" s="73">
        <f t="shared" si="63"/>
        <v>0</v>
      </c>
      <c r="BQ69" s="65"/>
      <c r="BR69" s="74" t="s">
        <v>1942</v>
      </c>
      <c r="BS69" s="73">
        <f t="shared" si="63"/>
        <v>0</v>
      </c>
      <c r="BT69" s="65"/>
      <c r="BU69" s="74" t="s">
        <v>1946</v>
      </c>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21</v>
      </c>
      <c r="G70" s="445">
        <f ca="1">VLOOKUP(H70,Equipos!$Q$1:$R$25,2,0)</f>
        <v>16</v>
      </c>
      <c r="H70" s="446">
        <f ca="1">TRUNC(INDEX(WORLDCUP!$X$4:$X$147,MATCH(ADMIN!K70,WORLDCUP!$DT$4:$DT$147,0))+INDEX(Horarios!$R$3:$R$86,MATCH(Horarios!$C$3,Horarios!$P$3:$P$86,0))/24)</f>
        <v>46199</v>
      </c>
      <c r="I70" s="48">
        <v>3</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1942</v>
      </c>
      <c r="T70" s="73">
        <f t="shared" si="48"/>
        <v>0</v>
      </c>
      <c r="U70" s="65"/>
      <c r="V70" s="74" t="s">
        <v>1998</v>
      </c>
      <c r="W70" s="73">
        <f t="shared" si="58"/>
        <v>0</v>
      </c>
      <c r="X70" s="65"/>
      <c r="Y70" s="74" t="s">
        <v>1994</v>
      </c>
      <c r="Z70" s="73">
        <f t="shared" si="63"/>
        <v>0</v>
      </c>
      <c r="AA70" s="65"/>
      <c r="AB70" s="74" t="s">
        <v>1946</v>
      </c>
      <c r="AC70" s="73">
        <f t="shared" si="63"/>
        <v>0</v>
      </c>
      <c r="AD70" s="65"/>
      <c r="AE70" s="74" t="s">
        <v>1955</v>
      </c>
      <c r="AF70" s="73">
        <f t="shared" si="63"/>
        <v>0</v>
      </c>
      <c r="AG70" s="65"/>
      <c r="AH70" s="74" t="s">
        <v>1942</v>
      </c>
      <c r="AI70" s="73">
        <f t="shared" si="63"/>
        <v>0</v>
      </c>
      <c r="AJ70" s="65"/>
      <c r="AK70" s="74" t="s">
        <v>1946</v>
      </c>
      <c r="AL70" s="73">
        <f t="shared" si="63"/>
        <v>0</v>
      </c>
      <c r="AM70" s="65"/>
      <c r="AN70" s="74" t="s">
        <v>1943</v>
      </c>
      <c r="AO70" s="73">
        <f t="shared" si="63"/>
        <v>0</v>
      </c>
      <c r="AP70" s="65"/>
      <c r="AQ70" s="74" t="s">
        <v>1942</v>
      </c>
      <c r="AR70" s="73">
        <f t="shared" si="63"/>
        <v>0</v>
      </c>
      <c r="AS70" s="65"/>
      <c r="AT70" s="74" t="s">
        <v>1952</v>
      </c>
      <c r="AU70" s="73">
        <f t="shared" si="63"/>
        <v>0</v>
      </c>
      <c r="AV70" s="65"/>
      <c r="AW70" s="74" t="s">
        <v>1946</v>
      </c>
      <c r="AX70" s="73">
        <f t="shared" si="63"/>
        <v>0</v>
      </c>
      <c r="AY70" s="65"/>
      <c r="AZ70" s="74" t="s">
        <v>1946</v>
      </c>
      <c r="BA70" s="73">
        <f t="shared" si="63"/>
        <v>0</v>
      </c>
      <c r="BB70" s="65"/>
      <c r="BC70" s="74" t="s">
        <v>1944</v>
      </c>
      <c r="BD70" s="73">
        <f t="shared" si="63"/>
        <v>0</v>
      </c>
      <c r="BE70" s="65"/>
      <c r="BF70" s="74" t="s">
        <v>1942</v>
      </c>
      <c r="BG70" s="73">
        <f t="shared" si="63"/>
        <v>0</v>
      </c>
      <c r="BH70" s="65"/>
      <c r="BI70" s="74" t="s">
        <v>1952</v>
      </c>
      <c r="BJ70" s="73">
        <f t="shared" si="63"/>
        <v>0</v>
      </c>
      <c r="BK70" s="65"/>
      <c r="BL70" s="74" t="s">
        <v>1951</v>
      </c>
      <c r="BM70" s="73">
        <f t="shared" si="63"/>
        <v>0</v>
      </c>
      <c r="BN70" s="65"/>
      <c r="BO70" s="74" t="s">
        <v>1942</v>
      </c>
      <c r="BP70" s="73">
        <f t="shared" si="63"/>
        <v>0</v>
      </c>
      <c r="BQ70" s="65"/>
      <c r="BR70" s="74" t="s">
        <v>1946</v>
      </c>
      <c r="BS70" s="73">
        <f t="shared" si="63"/>
        <v>0</v>
      </c>
      <c r="BT70" s="65"/>
      <c r="BU70" s="74" t="s">
        <v>1943</v>
      </c>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7</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1944</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1948</v>
      </c>
      <c r="W71" s="73">
        <f t="shared" si="58"/>
        <v>0</v>
      </c>
      <c r="X71" s="65"/>
      <c r="Y71" s="74" t="s">
        <v>1953</v>
      </c>
      <c r="Z71" s="73">
        <f t="shared" si="63"/>
        <v>0</v>
      </c>
      <c r="AA71" s="65"/>
      <c r="AB71" s="74" t="s">
        <v>1948</v>
      </c>
      <c r="AC71" s="73">
        <f t="shared" si="63"/>
        <v>0</v>
      </c>
      <c r="AD71" s="65"/>
      <c r="AE71" s="74" t="s">
        <v>1947</v>
      </c>
      <c r="AF71" s="73">
        <f t="shared" si="63"/>
        <v>0</v>
      </c>
      <c r="AG71" s="65"/>
      <c r="AH71" s="74" t="s">
        <v>1949</v>
      </c>
      <c r="AI71" s="73">
        <f t="shared" si="63"/>
        <v>0</v>
      </c>
      <c r="AJ71" s="65"/>
      <c r="AK71" s="74" t="s">
        <v>1950</v>
      </c>
      <c r="AL71" s="73">
        <f t="shared" si="63"/>
        <v>0</v>
      </c>
      <c r="AM71" s="65"/>
      <c r="AN71" s="74" t="s">
        <v>1942</v>
      </c>
      <c r="AO71" s="73">
        <f t="shared" si="63"/>
        <v>0</v>
      </c>
      <c r="AP71" s="65"/>
      <c r="AQ71" s="74" t="s">
        <v>1941</v>
      </c>
      <c r="AR71" s="73">
        <f t="shared" si="63"/>
        <v>0</v>
      </c>
      <c r="AS71" s="65"/>
      <c r="AT71" s="74" t="s">
        <v>1949</v>
      </c>
      <c r="AU71" s="73">
        <f t="shared" si="63"/>
        <v>0</v>
      </c>
      <c r="AV71" s="65"/>
      <c r="AW71" s="74" t="s">
        <v>1945</v>
      </c>
      <c r="AX71" s="73">
        <f t="shared" si="63"/>
        <v>0</v>
      </c>
      <c r="AY71" s="65"/>
      <c r="AZ71" s="74" t="s">
        <v>1948</v>
      </c>
      <c r="BA71" s="73">
        <f t="shared" si="63"/>
        <v>0</v>
      </c>
      <c r="BB71" s="65"/>
      <c r="BC71" s="74" t="s">
        <v>1949</v>
      </c>
      <c r="BD71" s="73">
        <f t="shared" si="63"/>
        <v>0</v>
      </c>
      <c r="BE71" s="65"/>
      <c r="BF71" s="74" t="s">
        <v>1949</v>
      </c>
      <c r="BG71" s="73">
        <f t="shared" si="63"/>
        <v>0</v>
      </c>
      <c r="BH71" s="65"/>
      <c r="BI71" s="74" t="s">
        <v>1949</v>
      </c>
      <c r="BJ71" s="73">
        <f t="shared" si="63"/>
        <v>0</v>
      </c>
      <c r="BK71" s="65"/>
      <c r="BL71" s="74" t="s">
        <v>1949</v>
      </c>
      <c r="BM71" s="73">
        <f t="shared" si="63"/>
        <v>0</v>
      </c>
      <c r="BN71" s="65"/>
      <c r="BO71" s="74" t="s">
        <v>1942</v>
      </c>
      <c r="BP71" s="73">
        <f t="shared" si="63"/>
        <v>0</v>
      </c>
      <c r="BQ71" s="65"/>
      <c r="BR71" s="74" t="s">
        <v>1949</v>
      </c>
      <c r="BS71" s="73">
        <f t="shared" si="63"/>
        <v>0</v>
      </c>
      <c r="BT71" s="65"/>
      <c r="BU71" s="74" t="s">
        <v>1949</v>
      </c>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7</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1942</v>
      </c>
      <c r="T72" s="73">
        <f t="shared" si="66"/>
        <v>0</v>
      </c>
      <c r="U72" s="65"/>
      <c r="V72" s="74" t="s">
        <v>1942</v>
      </c>
      <c r="W72" s="73">
        <f t="shared" si="58"/>
        <v>0</v>
      </c>
      <c r="X72" s="65"/>
      <c r="Y72" s="74" t="s">
        <v>1943</v>
      </c>
      <c r="Z72" s="73">
        <f t="shared" si="63"/>
        <v>0</v>
      </c>
      <c r="AA72" s="65"/>
      <c r="AB72" s="74" t="s">
        <v>1942</v>
      </c>
      <c r="AC72" s="73">
        <f t="shared" si="63"/>
        <v>0</v>
      </c>
      <c r="AD72" s="65"/>
      <c r="AE72" s="74" t="s">
        <v>1997</v>
      </c>
      <c r="AF72" s="73">
        <f t="shared" si="63"/>
        <v>0</v>
      </c>
      <c r="AG72" s="65"/>
      <c r="AH72" s="74" t="s">
        <v>1942</v>
      </c>
      <c r="AI72" s="73">
        <f t="shared" si="63"/>
        <v>0</v>
      </c>
      <c r="AJ72" s="65"/>
      <c r="AK72" s="74" t="s">
        <v>1946</v>
      </c>
      <c r="AL72" s="73">
        <f t="shared" si="63"/>
        <v>0</v>
      </c>
      <c r="AM72" s="65"/>
      <c r="AN72" s="74" t="s">
        <v>1942</v>
      </c>
      <c r="AO72" s="73">
        <f t="shared" si="63"/>
        <v>0</v>
      </c>
      <c r="AP72" s="65"/>
      <c r="AQ72" s="74" t="s">
        <v>1948</v>
      </c>
      <c r="AR72" s="73">
        <f t="shared" si="63"/>
        <v>0</v>
      </c>
      <c r="AS72" s="65"/>
      <c r="AT72" s="74" t="s">
        <v>1954</v>
      </c>
      <c r="AU72" s="73">
        <f t="shared" si="63"/>
        <v>0</v>
      </c>
      <c r="AV72" s="65"/>
      <c r="AW72" s="74" t="s">
        <v>1946</v>
      </c>
      <c r="AX72" s="73">
        <f t="shared" si="63"/>
        <v>0</v>
      </c>
      <c r="AY72" s="65"/>
      <c r="AZ72" s="74" t="s">
        <v>1942</v>
      </c>
      <c r="BA72" s="73">
        <f t="shared" si="63"/>
        <v>0</v>
      </c>
      <c r="BB72" s="65"/>
      <c r="BC72" s="74" t="s">
        <v>1954</v>
      </c>
      <c r="BD72" s="73">
        <f t="shared" si="63"/>
        <v>0</v>
      </c>
      <c r="BE72" s="65"/>
      <c r="BF72" s="74" t="s">
        <v>1942</v>
      </c>
      <c r="BG72" s="73">
        <f t="shared" si="63"/>
        <v>0</v>
      </c>
      <c r="BH72" s="65"/>
      <c r="BI72" s="74" t="s">
        <v>1945</v>
      </c>
      <c r="BJ72" s="73">
        <f t="shared" si="63"/>
        <v>0</v>
      </c>
      <c r="BK72" s="65"/>
      <c r="BL72" s="74" t="s">
        <v>1944</v>
      </c>
      <c r="BM72" s="73">
        <f t="shared" si="63"/>
        <v>0</v>
      </c>
      <c r="BN72" s="65"/>
      <c r="BO72" s="74" t="s">
        <v>1942</v>
      </c>
      <c r="BP72" s="73">
        <f t="shared" si="63"/>
        <v>0</v>
      </c>
      <c r="BQ72" s="65"/>
      <c r="BR72" s="74" t="s">
        <v>1942</v>
      </c>
      <c r="BS72" s="73">
        <f t="shared" si="63"/>
        <v>0</v>
      </c>
      <c r="BT72" s="65"/>
      <c r="BU72" s="74" t="s">
        <v>1942</v>
      </c>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7</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1955</v>
      </c>
      <c r="W73" s="73">
        <f t="shared" si="58"/>
        <v>0</v>
      </c>
      <c r="X73" s="65"/>
      <c r="Y73" s="74" t="s">
        <v>2038</v>
      </c>
      <c r="Z73" s="73">
        <f t="shared" si="63"/>
        <v>0</v>
      </c>
      <c r="AA73" s="65"/>
      <c r="AB73" s="74" t="s">
        <v>1946</v>
      </c>
      <c r="AC73" s="73">
        <f t="shared" si="63"/>
        <v>0</v>
      </c>
      <c r="AD73" s="65"/>
      <c r="AE73" s="74" t="s">
        <v>1955</v>
      </c>
      <c r="AF73" s="73">
        <f t="shared" si="63"/>
        <v>0</v>
      </c>
      <c r="AG73" s="65"/>
      <c r="AH73" s="74" t="s">
        <v>1943</v>
      </c>
      <c r="AI73" s="73">
        <f t="shared" si="63"/>
        <v>0</v>
      </c>
      <c r="AJ73" s="65"/>
      <c r="AK73" s="74" t="s">
        <v>1955</v>
      </c>
      <c r="AL73" s="73">
        <f t="shared" si="63"/>
        <v>0</v>
      </c>
      <c r="AM73" s="65"/>
      <c r="AN73" s="74" t="s">
        <v>1943</v>
      </c>
      <c r="AO73" s="73">
        <f t="shared" si="63"/>
        <v>0</v>
      </c>
      <c r="AP73" s="65"/>
      <c r="AQ73" s="74" t="s">
        <v>1995</v>
      </c>
      <c r="AR73" s="73">
        <f t="shared" si="63"/>
        <v>0</v>
      </c>
      <c r="AS73" s="65"/>
      <c r="AT73" s="74" t="s">
        <v>1943</v>
      </c>
      <c r="AU73" s="73">
        <f t="shared" si="63"/>
        <v>0</v>
      </c>
      <c r="AV73" s="65"/>
      <c r="AW73" s="74" t="s">
        <v>1955</v>
      </c>
      <c r="AX73" s="73">
        <f t="shared" si="63"/>
        <v>0</v>
      </c>
      <c r="AY73" s="65"/>
      <c r="AZ73" s="74" t="s">
        <v>1946</v>
      </c>
      <c r="BA73" s="73">
        <f t="shared" si="63"/>
        <v>0</v>
      </c>
      <c r="BB73" s="65"/>
      <c r="BC73" s="74" t="s">
        <v>1995</v>
      </c>
      <c r="BD73" s="73">
        <f t="shared" si="63"/>
        <v>0</v>
      </c>
      <c r="BE73" s="65"/>
      <c r="BF73" s="74" t="s">
        <v>1943</v>
      </c>
      <c r="BG73" s="73">
        <f t="shared" si="63"/>
        <v>0</v>
      </c>
      <c r="BH73" s="65"/>
      <c r="BI73" s="74" t="s">
        <v>1943</v>
      </c>
      <c r="BJ73" s="73">
        <f t="shared" si="63"/>
        <v>0</v>
      </c>
      <c r="BK73" s="65"/>
      <c r="BL73" s="74" t="s">
        <v>2038</v>
      </c>
      <c r="BM73" s="73">
        <f t="shared" si="63"/>
        <v>0</v>
      </c>
      <c r="BN73" s="65"/>
      <c r="BO73" s="74" t="s">
        <v>1955</v>
      </c>
      <c r="BP73" s="73">
        <f t="shared" si="63"/>
        <v>0</v>
      </c>
      <c r="BQ73" s="65"/>
      <c r="BR73" s="74" t="s">
        <v>1955</v>
      </c>
      <c r="BS73" s="73">
        <f t="shared" si="63"/>
        <v>0</v>
      </c>
      <c r="BT73" s="65"/>
      <c r="BU73" s="74" t="s">
        <v>1995</v>
      </c>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7</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1942</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1942</v>
      </c>
      <c r="Z74" s="73">
        <f t="shared" si="63"/>
        <v>0</v>
      </c>
      <c r="AA74" s="65"/>
      <c r="AB74" s="74" t="s">
        <v>1944</v>
      </c>
      <c r="AC74" s="73">
        <f t="shared" si="63"/>
        <v>0</v>
      </c>
      <c r="AD74" s="65"/>
      <c r="AE74" s="74" t="s">
        <v>1951</v>
      </c>
      <c r="AF74" s="73">
        <f t="shared" si="63"/>
        <v>0</v>
      </c>
      <c r="AG74" s="65"/>
      <c r="AH74" s="74" t="s">
        <v>1942</v>
      </c>
      <c r="AI74" s="73">
        <f t="shared" si="63"/>
        <v>0</v>
      </c>
      <c r="AJ74" s="65"/>
      <c r="AK74" s="74" t="s">
        <v>1994</v>
      </c>
      <c r="AL74" s="73">
        <f t="shared" si="63"/>
        <v>0</v>
      </c>
      <c r="AM74" s="65"/>
      <c r="AN74" s="74" t="s">
        <v>1942</v>
      </c>
      <c r="AO74" s="73">
        <f t="shared" si="63"/>
        <v>0</v>
      </c>
      <c r="AP74" s="65"/>
      <c r="AQ74" s="74" t="s">
        <v>1946</v>
      </c>
      <c r="AR74" s="73">
        <f t="shared" si="63"/>
        <v>0</v>
      </c>
      <c r="AS74" s="65"/>
      <c r="AT74" s="74" t="s">
        <v>1952</v>
      </c>
      <c r="AU74" s="73">
        <f t="shared" si="63"/>
        <v>0</v>
      </c>
      <c r="AV74" s="65"/>
      <c r="AW74" s="74" t="s">
        <v>1951</v>
      </c>
      <c r="AX74" s="73">
        <f t="shared" si="63"/>
        <v>0</v>
      </c>
      <c r="AY74" s="65"/>
      <c r="AZ74" s="74" t="s">
        <v>1944</v>
      </c>
      <c r="BA74" s="73">
        <f t="shared" si="63"/>
        <v>0</v>
      </c>
      <c r="BB74" s="65"/>
      <c r="BC74" s="74" t="s">
        <v>1942</v>
      </c>
      <c r="BD74" s="73">
        <f t="shared" si="63"/>
        <v>0</v>
      </c>
      <c r="BE74" s="65"/>
      <c r="BF74" s="74" t="s">
        <v>1942</v>
      </c>
      <c r="BG74" s="73">
        <f t="shared" si="63"/>
        <v>0</v>
      </c>
      <c r="BH74" s="65"/>
      <c r="BI74" s="74" t="s">
        <v>1952</v>
      </c>
      <c r="BJ74" s="73">
        <f t="shared" si="63"/>
        <v>0</v>
      </c>
      <c r="BK74" s="65"/>
      <c r="BL74" s="74" t="s">
        <v>1942</v>
      </c>
      <c r="BM74" s="73">
        <f t="shared" si="63"/>
        <v>0</v>
      </c>
      <c r="BN74" s="65"/>
      <c r="BO74" s="74" t="s">
        <v>1942</v>
      </c>
      <c r="BP74" s="73">
        <f t="shared" si="63"/>
        <v>0</v>
      </c>
      <c r="BQ74" s="65"/>
      <c r="BR74" s="74" t="s">
        <v>1942</v>
      </c>
      <c r="BS74" s="73">
        <f t="shared" si="63"/>
        <v>0</v>
      </c>
      <c r="BT74" s="65"/>
      <c r="BU74" s="74" t="s">
        <v>1942</v>
      </c>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7</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1946</v>
      </c>
      <c r="T75" s="73">
        <f t="shared" si="66"/>
        <v>0</v>
      </c>
      <c r="U75" s="65"/>
      <c r="V75" s="74" t="s">
        <v>1948</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1947</v>
      </c>
      <c r="Z75" s="73">
        <f t="shared" si="63"/>
        <v>0</v>
      </c>
      <c r="AA75" s="65"/>
      <c r="AB75" s="74" t="s">
        <v>1942</v>
      </c>
      <c r="AC75" s="73">
        <f t="shared" si="63"/>
        <v>0</v>
      </c>
      <c r="AD75" s="65"/>
      <c r="AE75" s="74" t="s">
        <v>1944</v>
      </c>
      <c r="AF75" s="73">
        <f t="shared" si="63"/>
        <v>0</v>
      </c>
      <c r="AG75" s="65"/>
      <c r="AH75" s="74" t="s">
        <v>1942</v>
      </c>
      <c r="AI75" s="73">
        <f t="shared" si="63"/>
        <v>0</v>
      </c>
      <c r="AJ75" s="65"/>
      <c r="AK75" s="74" t="s">
        <v>1946</v>
      </c>
      <c r="AL75" s="73">
        <f t="shared" si="63"/>
        <v>0</v>
      </c>
      <c r="AM75" s="65"/>
      <c r="AN75" s="74" t="s">
        <v>1942</v>
      </c>
      <c r="AO75" s="73">
        <f t="shared" si="63"/>
        <v>0</v>
      </c>
      <c r="AP75" s="65"/>
      <c r="AQ75" s="74" t="s">
        <v>1942</v>
      </c>
      <c r="AR75" s="73">
        <f t="shared" si="63"/>
        <v>0</v>
      </c>
      <c r="AS75" s="65"/>
      <c r="AT75" s="74" t="s">
        <v>1954</v>
      </c>
      <c r="AU75" s="73">
        <f t="shared" si="63"/>
        <v>0</v>
      </c>
      <c r="AV75" s="65"/>
      <c r="AW75" s="74" t="s">
        <v>1954</v>
      </c>
      <c r="AX75" s="73">
        <f t="shared" si="63"/>
        <v>0</v>
      </c>
      <c r="AY75" s="65"/>
      <c r="AZ75" s="74" t="s">
        <v>1949</v>
      </c>
      <c r="BA75" s="73">
        <f t="shared" si="63"/>
        <v>0</v>
      </c>
      <c r="BB75" s="65"/>
      <c r="BC75" s="74" t="s">
        <v>1945</v>
      </c>
      <c r="BD75" s="73">
        <f t="shared" si="63"/>
        <v>0</v>
      </c>
      <c r="BE75" s="65"/>
      <c r="BF75" s="74" t="s">
        <v>1942</v>
      </c>
      <c r="BG75" s="73">
        <f t="shared" si="63"/>
        <v>0</v>
      </c>
      <c r="BH75" s="65"/>
      <c r="BI75" s="74" t="s">
        <v>1945</v>
      </c>
      <c r="BJ75" s="73">
        <f t="shared" si="63"/>
        <v>0</v>
      </c>
      <c r="BK75" s="65"/>
      <c r="BL75" s="74" t="s">
        <v>1946</v>
      </c>
      <c r="BM75" s="73">
        <f t="shared" si="63"/>
        <v>0</v>
      </c>
      <c r="BN75" s="65"/>
      <c r="BO75" s="74" t="s">
        <v>1945</v>
      </c>
      <c r="BP75" s="73">
        <f t="shared" si="63"/>
        <v>0</v>
      </c>
      <c r="BQ75" s="65"/>
      <c r="BR75" s="74" t="s">
        <v>1942</v>
      </c>
      <c r="BS75" s="73">
        <f t="shared" si="63"/>
        <v>0</v>
      </c>
      <c r="BT75" s="65"/>
      <c r="BU75" s="74" t="s">
        <v>1948</v>
      </c>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7</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1955</v>
      </c>
      <c r="T76" s="73">
        <f t="shared" si="66"/>
        <v>0</v>
      </c>
      <c r="U76" s="65"/>
      <c r="V76" s="74" t="s">
        <v>1952</v>
      </c>
      <c r="W76" s="73">
        <f t="shared" si="67"/>
        <v>0</v>
      </c>
      <c r="X76" s="65"/>
      <c r="Y76" s="74" t="s">
        <v>1996</v>
      </c>
      <c r="Z76" s="73">
        <f t="shared" si="63"/>
        <v>0</v>
      </c>
      <c r="AA76" s="65"/>
      <c r="AB76" s="74" t="s">
        <v>1946</v>
      </c>
      <c r="AC76" s="73">
        <f t="shared" si="63"/>
        <v>0</v>
      </c>
      <c r="AD76" s="65"/>
      <c r="AE76" s="74" t="s">
        <v>1951</v>
      </c>
      <c r="AF76" s="73">
        <f t="shared" si="63"/>
        <v>0</v>
      </c>
      <c r="AG76" s="65"/>
      <c r="AH76" s="74" t="s">
        <v>1952</v>
      </c>
      <c r="AI76" s="73">
        <f t="shared" si="63"/>
        <v>0</v>
      </c>
      <c r="AJ76" s="65"/>
      <c r="AK76" s="74" t="s">
        <v>1951</v>
      </c>
      <c r="AL76" s="73">
        <f t="shared" si="63"/>
        <v>0</v>
      </c>
      <c r="AM76" s="65"/>
      <c r="AN76" s="74" t="s">
        <v>1943</v>
      </c>
      <c r="AO76" s="73">
        <f t="shared" si="63"/>
        <v>0</v>
      </c>
      <c r="AP76" s="65"/>
      <c r="AQ76" s="74" t="s">
        <v>1943</v>
      </c>
      <c r="AR76" s="73">
        <f t="shared" si="63"/>
        <v>0</v>
      </c>
      <c r="AS76" s="65"/>
      <c r="AT76" s="74" t="s">
        <v>1952</v>
      </c>
      <c r="AU76" s="73">
        <f t="shared" si="63"/>
        <v>0</v>
      </c>
      <c r="AV76" s="65"/>
      <c r="AW76" s="74" t="s">
        <v>1952</v>
      </c>
      <c r="AX76" s="73">
        <f t="shared" si="63"/>
        <v>0</v>
      </c>
      <c r="AY76" s="65"/>
      <c r="AZ76" s="74" t="s">
        <v>1951</v>
      </c>
      <c r="BA76" s="73">
        <f t="shared" si="63"/>
        <v>0</v>
      </c>
      <c r="BB76" s="65"/>
      <c r="BC76" s="74" t="s">
        <v>1995</v>
      </c>
      <c r="BD76" s="73">
        <f t="shared" si="63"/>
        <v>0</v>
      </c>
      <c r="BE76" s="65"/>
      <c r="BF76" s="74" t="s">
        <v>1943</v>
      </c>
      <c r="BG76" s="73">
        <f t="shared" si="63"/>
        <v>0</v>
      </c>
      <c r="BH76" s="65"/>
      <c r="BI76" s="74" t="s">
        <v>1955</v>
      </c>
      <c r="BJ76" s="73">
        <f t="shared" si="63"/>
        <v>0</v>
      </c>
      <c r="BK76" s="65"/>
      <c r="BL76" s="74" t="s">
        <v>1955</v>
      </c>
      <c r="BM76" s="73">
        <f t="shared" si="63"/>
        <v>0</v>
      </c>
      <c r="BN76" s="65"/>
      <c r="BO76" s="74" t="s">
        <v>1955</v>
      </c>
      <c r="BP76" s="73">
        <f t="shared" si="63"/>
        <v>0</v>
      </c>
      <c r="BQ76" s="65"/>
      <c r="BR76" s="74" t="s">
        <v>1955</v>
      </c>
      <c r="BS76" s="73">
        <f t="shared" si="63"/>
        <v>0</v>
      </c>
      <c r="BT76" s="65"/>
      <c r="BU76" s="74" t="s">
        <v>1955</v>
      </c>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7</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1948</v>
      </c>
      <c r="T77" s="81">
        <f t="shared" si="66"/>
        <v>0</v>
      </c>
      <c r="U77" s="65"/>
      <c r="V77" s="80" t="s">
        <v>1949</v>
      </c>
      <c r="W77" s="81">
        <f t="shared" si="67"/>
        <v>0</v>
      </c>
      <c r="X77" s="65"/>
      <c r="Y77" s="80" t="s">
        <v>1942</v>
      </c>
      <c r="Z77" s="81">
        <f t="shared" si="63"/>
        <v>0</v>
      </c>
      <c r="AA77" s="65"/>
      <c r="AB77" s="80" t="s">
        <v>1942</v>
      </c>
      <c r="AC77" s="81">
        <f t="shared" si="63"/>
        <v>0</v>
      </c>
      <c r="AD77" s="65"/>
      <c r="AE77" s="80" t="s">
        <v>1947</v>
      </c>
      <c r="AF77" s="81">
        <f t="shared" si="63"/>
        <v>0</v>
      </c>
      <c r="AG77" s="65"/>
      <c r="AH77" s="80" t="s">
        <v>1945</v>
      </c>
      <c r="AI77" s="81">
        <f t="shared" si="63"/>
        <v>0</v>
      </c>
      <c r="AJ77" s="65"/>
      <c r="AK77" s="80" t="s">
        <v>1944</v>
      </c>
      <c r="AL77" s="81">
        <f t="shared" si="63"/>
        <v>0</v>
      </c>
      <c r="AM77" s="65"/>
      <c r="AN77" s="80" t="s">
        <v>1942</v>
      </c>
      <c r="AO77" s="81">
        <f t="shared" si="63"/>
        <v>0</v>
      </c>
      <c r="AP77" s="65"/>
      <c r="AQ77" s="80" t="s">
        <v>1942</v>
      </c>
      <c r="AR77" s="81">
        <f t="shared" si="63"/>
        <v>0</v>
      </c>
      <c r="AS77" s="65"/>
      <c r="AT77" s="80" t="s">
        <v>1942</v>
      </c>
      <c r="AU77" s="81">
        <f t="shared" si="63"/>
        <v>0</v>
      </c>
      <c r="AV77" s="65"/>
      <c r="AW77" s="80" t="s">
        <v>1945</v>
      </c>
      <c r="AX77" s="81">
        <f t="shared" si="63"/>
        <v>0</v>
      </c>
      <c r="AY77" s="65"/>
      <c r="AZ77" s="80" t="s">
        <v>1945</v>
      </c>
      <c r="BA77" s="81">
        <f t="shared" si="63"/>
        <v>0</v>
      </c>
      <c r="BB77" s="65"/>
      <c r="BC77" s="80" t="s">
        <v>1942</v>
      </c>
      <c r="BD77" s="81">
        <f t="shared" si="63"/>
        <v>0</v>
      </c>
      <c r="BE77" s="65"/>
      <c r="BF77" s="80" t="s">
        <v>1945</v>
      </c>
      <c r="BG77" s="81">
        <f t="shared" si="63"/>
        <v>0</v>
      </c>
      <c r="BH77" s="65"/>
      <c r="BI77" s="80" t="s">
        <v>1946</v>
      </c>
      <c r="BJ77" s="81">
        <f t="shared" si="63"/>
        <v>0</v>
      </c>
      <c r="BK77" s="65"/>
      <c r="BL77" s="80" t="s">
        <v>1997</v>
      </c>
      <c r="BM77" s="81">
        <f t="shared" si="63"/>
        <v>0</v>
      </c>
      <c r="BN77" s="65"/>
      <c r="BO77" s="80" t="s">
        <v>1942</v>
      </c>
      <c r="BP77" s="81">
        <f t="shared" si="63"/>
        <v>0</v>
      </c>
      <c r="BQ77" s="65"/>
      <c r="BR77" s="80" t="s">
        <v>1942</v>
      </c>
      <c r="BS77" s="81">
        <f t="shared" si="63"/>
        <v>0</v>
      </c>
      <c r="BT77" s="65"/>
      <c r="BU77" s="80" t="s">
        <v>1948</v>
      </c>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630</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5</v>
      </c>
      <c r="G80" s="445">
        <f ca="1">VLOOKUP(H80,Equipos!$Q$1:$R$25,2,0)</f>
        <v>15</v>
      </c>
      <c r="H80" s="446">
        <f ca="1">$H$54</f>
        <v>46198</v>
      </c>
      <c r="I80" s="50"/>
      <c r="J80" s="793"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1265</v>
      </c>
      <c r="AF80" s="77">
        <f t="shared" ref="AF80" ca="1" si="94">($M80=AE80)*$D$11</f>
        <v>0</v>
      </c>
      <c r="AG80" s="64"/>
      <c r="AH80" s="76" t="s">
        <v>1265</v>
      </c>
      <c r="AI80" s="77">
        <f t="shared" ref="AI80" ca="1" si="95">($M80=AH80)*$D$11</f>
        <v>0</v>
      </c>
      <c r="AJ80" s="64"/>
      <c r="AK80" s="76" t="s">
        <v>1265</v>
      </c>
      <c r="AL80" s="77">
        <f t="shared" ref="AL80" ca="1" si="96">($M80=AK80)*$D$11</f>
        <v>0</v>
      </c>
      <c r="AM80" s="64"/>
      <c r="AN80" s="76" t="s">
        <v>1265</v>
      </c>
      <c r="AO80" s="77">
        <f t="shared" ref="AO80" ca="1" si="97">($M80=AN80)*$D$11</f>
        <v>0</v>
      </c>
      <c r="AP80" s="64"/>
      <c r="AQ80" s="76" t="s">
        <v>1265</v>
      </c>
      <c r="AR80" s="77">
        <f t="shared" ref="AR80" ca="1" si="98">($M80=AQ80)*$D$11</f>
        <v>0</v>
      </c>
      <c r="AS80" s="64"/>
      <c r="AT80" s="76" t="s">
        <v>1265</v>
      </c>
      <c r="AU80" s="77">
        <f t="shared" ref="AU80" ca="1" si="99">($M80=AT80)*$D$11</f>
        <v>0</v>
      </c>
      <c r="AV80" s="64"/>
      <c r="AW80" s="76" t="s">
        <v>1260</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1265</v>
      </c>
      <c r="BP80" s="77">
        <f t="shared" ref="BP80" ca="1" si="106">($M80=BO80)*$D$11</f>
        <v>0</v>
      </c>
      <c r="BQ80" s="64"/>
      <c r="BR80" s="76" t="s">
        <v>1265</v>
      </c>
      <c r="BS80" s="77">
        <f t="shared" ref="BS80" ca="1" si="107">($M80=BR80)*$D$11</f>
        <v>0</v>
      </c>
      <c r="BT80" s="64"/>
      <c r="BU80" s="76" t="s">
        <v>1265</v>
      </c>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5</v>
      </c>
      <c r="G81" s="445">
        <f ca="1">VLOOKUP(H81,Equipos!$Q$1:$R$25,2,0)</f>
        <v>15</v>
      </c>
      <c r="H81" s="446">
        <f ca="1">$H$54</f>
        <v>46198</v>
      </c>
      <c r="I81" s="50"/>
      <c r="J81" s="793"/>
      <c r="K81" s="56" t="str">
        <f>Idiomas!D151</f>
        <v>2º GRUPO A</v>
      </c>
      <c r="L81" s="53"/>
      <c r="M81" s="55" t="str">
        <f ca="1">IF(OR(SUM(WORLDCUP!$AN$6:$AN$9)=12,WORLDCUP!$AJ$99=144),WORLDCUP!AL7,LEFT(K81,1)&amp;RIGHT(K81,1))</f>
        <v>2A</v>
      </c>
      <c r="N81" s="25"/>
      <c r="O81" s="25"/>
      <c r="P81" s="25"/>
      <c r="Q81" s="25"/>
      <c r="R81" s="110"/>
      <c r="S81" s="74" t="s">
        <v>1260</v>
      </c>
      <c r="T81" s="73">
        <f ca="1">($M81=S81)*$D$12</f>
        <v>0</v>
      </c>
      <c r="U81" s="64"/>
      <c r="V81" s="74" t="s">
        <v>1260</v>
      </c>
      <c r="W81" s="73">
        <f t="shared" ref="W81" ca="1" si="115">($M81=V81)*$D$12</f>
        <v>0</v>
      </c>
      <c r="X81" s="64"/>
      <c r="Y81" s="74" t="s">
        <v>1843</v>
      </c>
      <c r="Z81" s="73">
        <f t="shared" ref="Z81" ca="1" si="116">($M81=Y81)*$D$12</f>
        <v>0</v>
      </c>
      <c r="AA81" s="64"/>
      <c r="AB81" s="74" t="s">
        <v>1265</v>
      </c>
      <c r="AC81" s="73">
        <f t="shared" ref="AC81" ca="1" si="117">($M81=AB81)*$D$12</f>
        <v>0</v>
      </c>
      <c r="AD81" s="64"/>
      <c r="AE81" s="74" t="s">
        <v>1630</v>
      </c>
      <c r="AF81" s="73">
        <f t="shared" ref="AF81" ca="1" si="118">($M81=AE81)*$D$12</f>
        <v>0</v>
      </c>
      <c r="AG81" s="64"/>
      <c r="AH81" s="74" t="s">
        <v>1260</v>
      </c>
      <c r="AI81" s="73">
        <f t="shared" ref="AI81" ca="1" si="119">($M81=AH81)*$D$12</f>
        <v>0</v>
      </c>
      <c r="AJ81" s="64"/>
      <c r="AK81" s="74" t="s">
        <v>1843</v>
      </c>
      <c r="AL81" s="73">
        <f t="shared" ref="AL81" ca="1" si="120">($M81=AK81)*$D$12</f>
        <v>0</v>
      </c>
      <c r="AM81" s="64"/>
      <c r="AN81" s="74" t="s">
        <v>1630</v>
      </c>
      <c r="AO81" s="73">
        <f t="shared" ref="AO81" ca="1" si="121">($M81=AN81)*$D$12</f>
        <v>0</v>
      </c>
      <c r="AP81" s="64"/>
      <c r="AQ81" s="74" t="s">
        <v>1843</v>
      </c>
      <c r="AR81" s="73">
        <f t="shared" ref="AR81" ca="1" si="122">($M81=AQ81)*$D$12</f>
        <v>0</v>
      </c>
      <c r="AS81" s="64"/>
      <c r="AT81" s="74" t="s">
        <v>1843</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1630</v>
      </c>
      <c r="BM81" s="73">
        <f t="shared" ref="BM81" ca="1" si="129">($M81=BL81)*$D$12</f>
        <v>0</v>
      </c>
      <c r="BN81" s="64"/>
      <c r="BO81" s="74" t="s">
        <v>1260</v>
      </c>
      <c r="BP81" s="73">
        <f t="shared" ref="BP81" ca="1" si="130">($M81=BO81)*$D$12</f>
        <v>0</v>
      </c>
      <c r="BQ81" s="64"/>
      <c r="BR81" s="74" t="s">
        <v>1843</v>
      </c>
      <c r="BS81" s="73">
        <f t="shared" ref="BS81" ca="1" si="131">($M81=BR81)*$D$12</f>
        <v>0</v>
      </c>
      <c r="BT81" s="64"/>
      <c r="BU81" s="74" t="s">
        <v>1843</v>
      </c>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5</v>
      </c>
      <c r="G82" s="445">
        <f ca="1">VLOOKUP(H82,Equipos!$Q$1:$R$25,2,0)</f>
        <v>15</v>
      </c>
      <c r="H82" s="446">
        <f ca="1">$H$54</f>
        <v>46198</v>
      </c>
      <c r="I82" s="50"/>
      <c r="J82" s="793"/>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1260</v>
      </c>
      <c r="Z82" s="73">
        <f t="shared" ref="Z82" ca="1" si="140">($M82=Y82)*$D$13</f>
        <v>0</v>
      </c>
      <c r="AA82" s="64"/>
      <c r="AB82" s="74" t="s">
        <v>1630</v>
      </c>
      <c r="AC82" s="73">
        <f t="shared" ref="AC82" ca="1" si="141">($M82=AB82)*$D$13</f>
        <v>0</v>
      </c>
      <c r="AD82" s="64"/>
      <c r="AE82" s="74" t="s">
        <v>1260</v>
      </c>
      <c r="AF82" s="73">
        <f t="shared" ref="AF82" ca="1" si="142">($M82=AE82)*$D$13</f>
        <v>0</v>
      </c>
      <c r="AG82" s="64"/>
      <c r="AH82" s="74" t="s">
        <v>1843</v>
      </c>
      <c r="AI82" s="73">
        <f t="shared" ref="AI82" ca="1" si="143">($M82=AH82)*$D$13</f>
        <v>0</v>
      </c>
      <c r="AJ82" s="64"/>
      <c r="AK82" s="74" t="s">
        <v>1260</v>
      </c>
      <c r="AL82" s="73">
        <f t="shared" ref="AL82" ca="1" si="144">($M82=AK82)*$D$13</f>
        <v>0</v>
      </c>
      <c r="AM82" s="64"/>
      <c r="AN82" s="74" t="s">
        <v>1260</v>
      </c>
      <c r="AO82" s="73">
        <f t="shared" ref="AO82" ca="1" si="145">($M82=AN82)*$D$13</f>
        <v>0</v>
      </c>
      <c r="AP82" s="64"/>
      <c r="AQ82" s="74" t="s">
        <v>1260</v>
      </c>
      <c r="AR82" s="73">
        <f t="shared" ref="AR82" ca="1" si="146">($M82=AQ82)*$D$13</f>
        <v>0</v>
      </c>
      <c r="AS82" s="64"/>
      <c r="AT82" s="74" t="s">
        <v>1260</v>
      </c>
      <c r="AU82" s="73">
        <f t="shared" ref="AU82" ca="1" si="147">($M82=AT82)*$D$13</f>
        <v>0</v>
      </c>
      <c r="AV82" s="64"/>
      <c r="AW82" s="74" t="s">
        <v>1843</v>
      </c>
      <c r="AX82" s="73">
        <f t="shared" ref="AX82" ca="1" si="148">($M82=AW82)*$D$13</f>
        <v>0</v>
      </c>
      <c r="AY82" s="64"/>
      <c r="AZ82" s="74" t="s">
        <v>1843</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1260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5</v>
      </c>
      <c r="G83" s="445">
        <f ca="1">VLOOKUP(H83,Equipos!$Q$1:$R$25,2,0)</f>
        <v>15</v>
      </c>
      <c r="H83" s="446">
        <f ca="1">$H$54</f>
        <v>46198</v>
      </c>
      <c r="I83" s="50"/>
      <c r="J83" s="793"/>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t="s">
        <v>1843</v>
      </c>
      <c r="AC83" s="73">
        <f t="shared" ref="AC83" ca="1" si="165">($M83=AB83)*$D$14</f>
        <v>0</v>
      </c>
      <c r="AD83" s="64"/>
      <c r="AE83" s="74" t="s">
        <v>1843</v>
      </c>
      <c r="AF83" s="73">
        <f t="shared" ref="AF83" ca="1" si="166">($M83=AE83)*$D$14</f>
        <v>0</v>
      </c>
      <c r="AG83" s="64"/>
      <c r="AH83" s="74" t="s">
        <v>1630</v>
      </c>
      <c r="AI83" s="73">
        <f t="shared" ref="AI83" ca="1" si="167">($M83=AH83)*$D$14</f>
        <v>0</v>
      </c>
      <c r="AJ83" s="64"/>
      <c r="AK83" s="74" t="s">
        <v>1630</v>
      </c>
      <c r="AL83" s="73">
        <f t="shared" ref="AL83" ca="1" si="168">($M83=AK83)*$D$14</f>
        <v>0</v>
      </c>
      <c r="AM83" s="64"/>
      <c r="AN83" s="74" t="s">
        <v>1843</v>
      </c>
      <c r="AO83" s="73">
        <f t="shared" ref="AO83" ca="1" si="169">($M83=AN83)*$D$14</f>
        <v>0</v>
      </c>
      <c r="AP83" s="64"/>
      <c r="AQ83" s="74" t="s">
        <v>1630</v>
      </c>
      <c r="AR83" s="73">
        <f t="shared" ref="AR83" ca="1" si="170">($M83=AQ83)*$D$14</f>
        <v>0</v>
      </c>
      <c r="AS83" s="64"/>
      <c r="AT83" s="74" t="s">
        <v>1630</v>
      </c>
      <c r="AU83" s="73">
        <f t="shared" ref="AU83" ca="1" si="171">($M83=AT83)*$D$14</f>
        <v>0</v>
      </c>
      <c r="AV83" s="64"/>
      <c r="AW83" s="74" t="s">
        <v>1630</v>
      </c>
      <c r="AX83" s="73">
        <f t="shared" ref="AX83" ca="1" si="172">($M83=AW83)*$D$14</f>
        <v>0</v>
      </c>
      <c r="AY83" s="64"/>
      <c r="AZ83" s="74" t="s">
        <v>1630</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5</v>
      </c>
      <c r="G84" s="445">
        <f ca="1">VLOOKUP(H84,Equipos!$Q$1:$R$25,2,0)</f>
        <v>14</v>
      </c>
      <c r="H84" s="446">
        <f ca="1">$H$56</f>
        <v>46197</v>
      </c>
      <c r="I84" s="50"/>
      <c r="J84" s="792"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75</v>
      </c>
      <c r="AI84" s="73">
        <f t="shared" ca="1" si="189"/>
        <v>0</v>
      </c>
      <c r="AJ84" s="64"/>
      <c r="AK84" s="74" t="s">
        <v>75</v>
      </c>
      <c r="AL84" s="73">
        <f t="shared" ca="1" si="189"/>
        <v>0</v>
      </c>
      <c r="AM84" s="64"/>
      <c r="AN84" s="74" t="s">
        <v>1259</v>
      </c>
      <c r="AO84" s="73">
        <f t="shared" ca="1" si="189"/>
        <v>0</v>
      </c>
      <c r="AP84" s="64"/>
      <c r="AQ84" s="74" t="s">
        <v>75</v>
      </c>
      <c r="AR84" s="73">
        <f t="shared" ca="1" si="189"/>
        <v>0</v>
      </c>
      <c r="AS84" s="64"/>
      <c r="AT84" s="74" t="s">
        <v>1259</v>
      </c>
      <c r="AU84" s="73">
        <f t="shared" ca="1" si="189"/>
        <v>0</v>
      </c>
      <c r="AV84" s="64"/>
      <c r="AW84" s="74" t="s">
        <v>75</v>
      </c>
      <c r="AX84" s="73">
        <f t="shared" ca="1" si="189"/>
        <v>0</v>
      </c>
      <c r="AY84" s="64"/>
      <c r="AZ84" s="74" t="s">
        <v>1259</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1259</v>
      </c>
      <c r="BM84" s="73">
        <f t="shared" ca="1" si="189"/>
        <v>0</v>
      </c>
      <c r="BN84" s="64"/>
      <c r="BO84" s="74" t="s">
        <v>75</v>
      </c>
      <c r="BP84" s="73">
        <f t="shared" ca="1" si="189"/>
        <v>0</v>
      </c>
      <c r="BQ84" s="64"/>
      <c r="BR84" s="74" t="s">
        <v>1259</v>
      </c>
      <c r="BS84" s="73">
        <f t="shared" ca="1" si="189"/>
        <v>0</v>
      </c>
      <c r="BT84" s="64"/>
      <c r="BU84" s="74" t="s">
        <v>1259</v>
      </c>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5</v>
      </c>
      <c r="G85" s="445">
        <f ca="1">VLOOKUP(H85,Equipos!$Q$1:$R$25,2,0)</f>
        <v>14</v>
      </c>
      <c r="H85" s="446">
        <f ca="1">$H$56</f>
        <v>46197</v>
      </c>
      <c r="I85" s="50"/>
      <c r="J85" s="792"/>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1841</v>
      </c>
      <c r="AF85" s="73">
        <f t="shared" ca="1" si="193"/>
        <v>0</v>
      </c>
      <c r="AG85" s="64"/>
      <c r="AH85" s="74" t="s">
        <v>1259</v>
      </c>
      <c r="AI85" s="73">
        <f t="shared" ca="1" si="193"/>
        <v>0</v>
      </c>
      <c r="AJ85" s="64"/>
      <c r="AK85" s="74" t="s">
        <v>1259</v>
      </c>
      <c r="AL85" s="73">
        <f t="shared" ca="1" si="193"/>
        <v>0</v>
      </c>
      <c r="AM85" s="64"/>
      <c r="AN85" s="74" t="s">
        <v>75</v>
      </c>
      <c r="AO85" s="73">
        <f t="shared" ca="1" si="193"/>
        <v>0</v>
      </c>
      <c r="AP85" s="64"/>
      <c r="AQ85" s="74" t="s">
        <v>1841</v>
      </c>
      <c r="AR85" s="73">
        <f t="shared" ca="1" si="193"/>
        <v>0</v>
      </c>
      <c r="AS85" s="64"/>
      <c r="AT85" s="74" t="s">
        <v>75</v>
      </c>
      <c r="AU85" s="73">
        <f t="shared" ca="1" si="193"/>
        <v>0</v>
      </c>
      <c r="AV85" s="64"/>
      <c r="AW85" s="74" t="s">
        <v>1259</v>
      </c>
      <c r="AX85" s="73">
        <f t="shared" ca="1" si="193"/>
        <v>0</v>
      </c>
      <c r="AY85" s="64"/>
      <c r="AZ85" s="74" t="s">
        <v>75</v>
      </c>
      <c r="BA85" s="73">
        <f t="shared" ca="1" si="193"/>
        <v>0</v>
      </c>
      <c r="BB85" s="64"/>
      <c r="BC85" s="74" t="s">
        <v>1259</v>
      </c>
      <c r="BD85" s="73">
        <f t="shared" ca="1" si="193"/>
        <v>0</v>
      </c>
      <c r="BE85" s="64"/>
      <c r="BF85" s="74" t="s">
        <v>1259</v>
      </c>
      <c r="BG85" s="73">
        <f t="shared" ca="1" si="193"/>
        <v>0</v>
      </c>
      <c r="BH85" s="64"/>
      <c r="BI85" s="74" t="s">
        <v>1841</v>
      </c>
      <c r="BJ85" s="73">
        <f t="shared" ca="1" si="193"/>
        <v>0</v>
      </c>
      <c r="BK85" s="64"/>
      <c r="BL85" s="74" t="s">
        <v>1841</v>
      </c>
      <c r="BM85" s="73">
        <f t="shared" ca="1" si="193"/>
        <v>0</v>
      </c>
      <c r="BN85" s="64"/>
      <c r="BO85" s="74" t="s">
        <v>1259</v>
      </c>
      <c r="BP85" s="73">
        <f t="shared" ca="1" si="193"/>
        <v>0</v>
      </c>
      <c r="BQ85" s="64"/>
      <c r="BR85" s="74" t="s">
        <v>75</v>
      </c>
      <c r="BS85" s="73">
        <f t="shared" ca="1" si="193"/>
        <v>0</v>
      </c>
      <c r="BT85" s="64"/>
      <c r="BU85" s="74" t="s">
        <v>75</v>
      </c>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5</v>
      </c>
      <c r="G86" s="445">
        <f ca="1">VLOOKUP(H86,Equipos!$Q$1:$R$25,2,0)</f>
        <v>14</v>
      </c>
      <c r="H86" s="446">
        <f ca="1">$H$56</f>
        <v>46197</v>
      </c>
      <c r="I86" s="50"/>
      <c r="J86" s="792"/>
      <c r="K86" s="56" t="str">
        <f>Idiomas!D156</f>
        <v>3º GRUPO B</v>
      </c>
      <c r="L86" s="53"/>
      <c r="M86" s="55" t="str">
        <f ca="1">IF(OR(SUM(WORLDCUP!$AN$14:$AN$17)=12,WORLDCUP!$AJ$99=144),WORLDCUP!AL16,LEFT(K86,1)&amp;RIGHT(K86,1))</f>
        <v>3B</v>
      </c>
      <c r="N86" s="25"/>
      <c r="O86" s="25"/>
      <c r="P86" s="25"/>
      <c r="Q86" s="25"/>
      <c r="R86" s="110"/>
      <c r="S86" s="74" t="s">
        <v>1841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1631</v>
      </c>
      <c r="AF86" s="73">
        <f t="shared" ca="1" si="197"/>
        <v>0</v>
      </c>
      <c r="AG86" s="64"/>
      <c r="AH86" s="74" t="s">
        <v>1841</v>
      </c>
      <c r="AI86" s="73">
        <f t="shared" ca="1" si="197"/>
        <v>0</v>
      </c>
      <c r="AJ86" s="64"/>
      <c r="AK86" s="74" t="s">
        <v>1841</v>
      </c>
      <c r="AL86" s="73">
        <f t="shared" ca="1" si="197"/>
        <v>0</v>
      </c>
      <c r="AM86" s="64"/>
      <c r="AN86" s="74" t="s">
        <v>1631</v>
      </c>
      <c r="AO86" s="73">
        <f t="shared" ca="1" si="197"/>
        <v>0</v>
      </c>
      <c r="AP86" s="64"/>
      <c r="AQ86" s="74" t="s">
        <v>1259</v>
      </c>
      <c r="AR86" s="73">
        <f t="shared" ca="1" si="197"/>
        <v>0</v>
      </c>
      <c r="AS86" s="64"/>
      <c r="AT86" s="74" t="s">
        <v>1841</v>
      </c>
      <c r="AU86" s="73">
        <f t="shared" ca="1" si="197"/>
        <v>0</v>
      </c>
      <c r="AV86" s="64"/>
      <c r="AW86" s="74" t="s">
        <v>1631</v>
      </c>
      <c r="AX86" s="73">
        <f t="shared" ca="1" si="197"/>
        <v>0</v>
      </c>
      <c r="AY86" s="64"/>
      <c r="AZ86" s="74" t="s">
        <v>1631</v>
      </c>
      <c r="BA86" s="73">
        <f t="shared" ca="1" si="197"/>
        <v>0</v>
      </c>
      <c r="BB86" s="64"/>
      <c r="BC86" s="74" t="s">
        <v>1841</v>
      </c>
      <c r="BD86" s="73">
        <f t="shared" ca="1" si="197"/>
        <v>0</v>
      </c>
      <c r="BE86" s="64"/>
      <c r="BF86" s="74" t="s">
        <v>1841</v>
      </c>
      <c r="BG86" s="73">
        <f t="shared" ca="1" si="197"/>
        <v>0</v>
      </c>
      <c r="BH86" s="64"/>
      <c r="BI86" s="74" t="s">
        <v>1259</v>
      </c>
      <c r="BJ86" s="73">
        <f t="shared" ca="1" si="197"/>
        <v>0</v>
      </c>
      <c r="BK86" s="64"/>
      <c r="BL86" s="74" t="s">
        <v>1631</v>
      </c>
      <c r="BM86" s="73">
        <f t="shared" ca="1" si="197"/>
        <v>0</v>
      </c>
      <c r="BN86" s="64"/>
      <c r="BO86" s="74" t="s">
        <v>1631</v>
      </c>
      <c r="BP86" s="73">
        <f t="shared" ca="1" si="197"/>
        <v>0</v>
      </c>
      <c r="BQ86" s="64"/>
      <c r="BR86" s="74" t="s">
        <v>1841</v>
      </c>
      <c r="BS86" s="73">
        <f t="shared" ca="1" si="197"/>
        <v>0</v>
      </c>
      <c r="BT86" s="64"/>
      <c r="BU86" s="74" t="s">
        <v>1841</v>
      </c>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5</v>
      </c>
      <c r="G87" s="445">
        <f ca="1">VLOOKUP(H87,Equipos!$Q$1:$R$25,2,0)</f>
        <v>14</v>
      </c>
      <c r="H87" s="446">
        <f ca="1">$H$56</f>
        <v>46197</v>
      </c>
      <c r="I87" s="50"/>
      <c r="J87" s="792"/>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t="s">
        <v>1631</v>
      </c>
      <c r="AC87" s="73">
        <f t="shared" ca="1" si="201"/>
        <v>0</v>
      </c>
      <c r="AD87" s="64"/>
      <c r="AE87" s="74" t="s">
        <v>75</v>
      </c>
      <c r="AF87" s="73">
        <f t="shared" ca="1" si="201"/>
        <v>0</v>
      </c>
      <c r="AG87" s="64"/>
      <c r="AH87" s="74" t="s">
        <v>1631</v>
      </c>
      <c r="AI87" s="73">
        <f t="shared" ca="1" si="201"/>
        <v>0</v>
      </c>
      <c r="AJ87" s="64"/>
      <c r="AK87" s="74" t="s">
        <v>1631</v>
      </c>
      <c r="AL87" s="73">
        <f t="shared" ca="1" si="201"/>
        <v>0</v>
      </c>
      <c r="AM87" s="64"/>
      <c r="AN87" s="74" t="s">
        <v>1841</v>
      </c>
      <c r="AO87" s="73">
        <f t="shared" ca="1" si="201"/>
        <v>0</v>
      </c>
      <c r="AP87" s="64"/>
      <c r="AQ87" s="74" t="s">
        <v>1631</v>
      </c>
      <c r="AR87" s="73">
        <f t="shared" ca="1" si="201"/>
        <v>0</v>
      </c>
      <c r="AS87" s="64"/>
      <c r="AT87" s="74" t="s">
        <v>1631</v>
      </c>
      <c r="AU87" s="73">
        <f t="shared" ca="1" si="201"/>
        <v>0</v>
      </c>
      <c r="AV87" s="64"/>
      <c r="AW87" s="74" t="s">
        <v>1841</v>
      </c>
      <c r="AX87" s="73">
        <f t="shared" ca="1" si="201"/>
        <v>0</v>
      </c>
      <c r="AY87" s="64"/>
      <c r="AZ87" s="74" t="s">
        <v>1841</v>
      </c>
      <c r="BA87" s="73">
        <f t="shared" ca="1" si="201"/>
        <v>0</v>
      </c>
      <c r="BB87" s="64"/>
      <c r="BC87" s="74" t="s">
        <v>1631</v>
      </c>
      <c r="BD87" s="73">
        <f t="shared" ca="1" si="201"/>
        <v>0</v>
      </c>
      <c r="BE87" s="64"/>
      <c r="BF87" s="74" t="s">
        <v>1631</v>
      </c>
      <c r="BG87" s="73">
        <f t="shared" ca="1" si="201"/>
        <v>0</v>
      </c>
      <c r="BH87" s="64"/>
      <c r="BI87" s="74" t="s">
        <v>1631</v>
      </c>
      <c r="BJ87" s="73">
        <f t="shared" ca="1" si="201"/>
        <v>0</v>
      </c>
      <c r="BK87" s="64"/>
      <c r="BL87" s="74" t="s">
        <v>75</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5</v>
      </c>
      <c r="G88" s="445">
        <f ca="1">VLOOKUP(H88,Equipos!$Q$1:$R$25,2,0)</f>
        <v>15</v>
      </c>
      <c r="H88" s="446">
        <f ca="1">$H$58</f>
        <v>46198</v>
      </c>
      <c r="I88" s="50"/>
      <c r="J88" s="793"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1321</v>
      </c>
      <c r="AU88" s="73">
        <f t="shared" ca="1" si="205"/>
        <v>0</v>
      </c>
      <c r="AV88" s="64"/>
      <c r="AW88" s="74" t="s">
        <v>1258</v>
      </c>
      <c r="AX88" s="73">
        <f t="shared" ca="1" si="205"/>
        <v>0</v>
      </c>
      <c r="AY88" s="64"/>
      <c r="AZ88" s="74" t="s">
        <v>1321</v>
      </c>
      <c r="BA88" s="73">
        <f t="shared" ca="1" si="205"/>
        <v>0</v>
      </c>
      <c r="BB88" s="64"/>
      <c r="BC88" s="74" t="s">
        <v>1258</v>
      </c>
      <c r="BD88" s="73">
        <f t="shared" ca="1" si="205"/>
        <v>0</v>
      </c>
      <c r="BE88" s="64"/>
      <c r="BF88" s="74" t="s">
        <v>1258</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5</v>
      </c>
      <c r="G89" s="445">
        <f ca="1">VLOOKUP(H89,Equipos!$Q$1:$R$25,2,0)</f>
        <v>15</v>
      </c>
      <c r="H89" s="446">
        <f ca="1">$H$58</f>
        <v>46198</v>
      </c>
      <c r="I89" s="50"/>
      <c r="J89" s="793"/>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1321</v>
      </c>
      <c r="AR89" s="73">
        <f t="shared" ca="1" si="209"/>
        <v>0</v>
      </c>
      <c r="AS89" s="64"/>
      <c r="AT89" s="74" t="s">
        <v>1258</v>
      </c>
      <c r="AU89" s="73">
        <f t="shared" ca="1" si="209"/>
        <v>0</v>
      </c>
      <c r="AV89" s="64"/>
      <c r="AW89" s="74" t="s">
        <v>1321</v>
      </c>
      <c r="AX89" s="73">
        <f t="shared" ca="1" si="209"/>
        <v>0</v>
      </c>
      <c r="AY89" s="64"/>
      <c r="AZ89" s="74" t="s">
        <v>1258</v>
      </c>
      <c r="BA89" s="73">
        <f t="shared" ca="1" si="209"/>
        <v>0</v>
      </c>
      <c r="BB89" s="64"/>
      <c r="BC89" s="74" t="s">
        <v>134</v>
      </c>
      <c r="BD89" s="73">
        <f t="shared" ca="1" si="209"/>
        <v>0</v>
      </c>
      <c r="BE89" s="64"/>
      <c r="BF89" s="74" t="s">
        <v>1321</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5</v>
      </c>
      <c r="G90" s="445">
        <f ca="1">VLOOKUP(H90,Equipos!$Q$1:$R$25,2,0)</f>
        <v>15</v>
      </c>
      <c r="H90" s="446">
        <f ca="1">$H$58</f>
        <v>46198</v>
      </c>
      <c r="I90" s="50"/>
      <c r="J90" s="793"/>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134</v>
      </c>
      <c r="Z90" s="73">
        <f t="shared" ca="1" si="213"/>
        <v>0</v>
      </c>
      <c r="AA90" s="64"/>
      <c r="AB90" s="74" t="s">
        <v>134</v>
      </c>
      <c r="AC90" s="73">
        <f t="shared" ca="1" si="213"/>
        <v>0</v>
      </c>
      <c r="AD90" s="64"/>
      <c r="AE90" s="74" t="s">
        <v>1728</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134</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1728</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5</v>
      </c>
      <c r="G91" s="445">
        <f ca="1">VLOOKUP(H91,Equipos!$Q$1:$R$25,2,0)</f>
        <v>15</v>
      </c>
      <c r="H91" s="446">
        <f ca="1">$H$58</f>
        <v>46198</v>
      </c>
      <c r="I91" s="50"/>
      <c r="J91" s="793"/>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t="s">
        <v>1728</v>
      </c>
      <c r="AC91" s="73">
        <f t="shared" ca="1" si="217"/>
        <v>0</v>
      </c>
      <c r="AD91" s="64"/>
      <c r="AE91" s="74" t="s">
        <v>134</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134</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5</v>
      </c>
      <c r="G92" s="445">
        <f ca="1">VLOOKUP(H92,Equipos!$Q$1:$R$25,2,0)</f>
        <v>16</v>
      </c>
      <c r="H92" s="446">
        <f ca="1">$H$60</f>
        <v>46199</v>
      </c>
      <c r="I92" s="50"/>
      <c r="J92" s="792"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497</v>
      </c>
      <c r="W92" s="73">
        <f t="shared" ref="W92:CH92" ca="1" si="221">($M92=V92)*$D$11</f>
        <v>0</v>
      </c>
      <c r="X92" s="64"/>
      <c r="Y92" s="74" t="s">
        <v>1835</v>
      </c>
      <c r="Z92" s="73">
        <f t="shared" ca="1" si="221"/>
        <v>0</v>
      </c>
      <c r="AA92" s="64"/>
      <c r="AB92" s="74" t="s">
        <v>497</v>
      </c>
      <c r="AC92" s="73">
        <f t="shared" ca="1" si="221"/>
        <v>0</v>
      </c>
      <c r="AD92" s="64"/>
      <c r="AE92" s="74" t="s">
        <v>497</v>
      </c>
      <c r="AF92" s="73">
        <f t="shared" ca="1" si="221"/>
        <v>0</v>
      </c>
      <c r="AG92" s="64"/>
      <c r="AH92" s="74" t="s">
        <v>497</v>
      </c>
      <c r="AI92" s="73">
        <f t="shared" ca="1" si="221"/>
        <v>0</v>
      </c>
      <c r="AJ92" s="64"/>
      <c r="AK92" s="74" t="s">
        <v>1835</v>
      </c>
      <c r="AL92" s="73">
        <f t="shared" ca="1" si="221"/>
        <v>0</v>
      </c>
      <c r="AM92" s="64"/>
      <c r="AN92" s="74" t="s">
        <v>1257</v>
      </c>
      <c r="AO92" s="73">
        <f t="shared" ca="1" si="221"/>
        <v>0</v>
      </c>
      <c r="AP92" s="64"/>
      <c r="AQ92" s="74" t="s">
        <v>1835</v>
      </c>
      <c r="AR92" s="73">
        <f t="shared" ca="1" si="221"/>
        <v>0</v>
      </c>
      <c r="AS92" s="64"/>
      <c r="AT92" s="74" t="s">
        <v>1835</v>
      </c>
      <c r="AU92" s="73">
        <f t="shared" ca="1" si="221"/>
        <v>0</v>
      </c>
      <c r="AV92" s="64"/>
      <c r="AW92" s="74" t="s">
        <v>1835</v>
      </c>
      <c r="AX92" s="73">
        <f t="shared" ca="1" si="221"/>
        <v>0</v>
      </c>
      <c r="AY92" s="64"/>
      <c r="AZ92" s="74" t="s">
        <v>1835</v>
      </c>
      <c r="BA92" s="73">
        <f t="shared" ca="1" si="221"/>
        <v>0</v>
      </c>
      <c r="BB92" s="64"/>
      <c r="BC92" s="74" t="s">
        <v>1835</v>
      </c>
      <c r="BD92" s="73">
        <f t="shared" ca="1" si="221"/>
        <v>0</v>
      </c>
      <c r="BE92" s="64"/>
      <c r="BF92" s="74" t="s">
        <v>497</v>
      </c>
      <c r="BG92" s="73">
        <f t="shared" ca="1" si="221"/>
        <v>0</v>
      </c>
      <c r="BH92" s="64"/>
      <c r="BI92" s="74" t="s">
        <v>1835</v>
      </c>
      <c r="BJ92" s="73">
        <f t="shared" ca="1" si="221"/>
        <v>0</v>
      </c>
      <c r="BK92" s="64"/>
      <c r="BL92" s="74" t="s">
        <v>497</v>
      </c>
      <c r="BM92" s="73">
        <f t="shared" ca="1" si="221"/>
        <v>0</v>
      </c>
      <c r="BN92" s="64"/>
      <c r="BO92" s="74" t="s">
        <v>497</v>
      </c>
      <c r="BP92" s="73">
        <f t="shared" ca="1" si="221"/>
        <v>0</v>
      </c>
      <c r="BQ92" s="64"/>
      <c r="BR92" s="74" t="s">
        <v>497</v>
      </c>
      <c r="BS92" s="73">
        <f t="shared" ca="1" si="221"/>
        <v>0</v>
      </c>
      <c r="BT92" s="64"/>
      <c r="BU92" s="74" t="s">
        <v>497</v>
      </c>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5</v>
      </c>
      <c r="G93" s="445">
        <f ca="1">VLOOKUP(H93,Equipos!$Q$1:$R$25,2,0)</f>
        <v>16</v>
      </c>
      <c r="H93" s="446">
        <f ca="1">$H$60</f>
        <v>46199</v>
      </c>
      <c r="I93" s="50"/>
      <c r="J93" s="792"/>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1835</v>
      </c>
      <c r="W93" s="73">
        <f t="shared" ref="W93:CH93" ca="1" si="225">($M93=V93)*$D$12</f>
        <v>0</v>
      </c>
      <c r="X93" s="64"/>
      <c r="Y93" s="74" t="s">
        <v>497</v>
      </c>
      <c r="Z93" s="73">
        <f t="shared" ca="1" si="225"/>
        <v>0</v>
      </c>
      <c r="AA93" s="64"/>
      <c r="AB93" s="74" t="s">
        <v>1257</v>
      </c>
      <c r="AC93" s="73">
        <f t="shared" ca="1" si="225"/>
        <v>0</v>
      </c>
      <c r="AD93" s="64"/>
      <c r="AE93" s="74" t="s">
        <v>1319</v>
      </c>
      <c r="AF93" s="73">
        <f t="shared" ca="1" si="225"/>
        <v>0</v>
      </c>
      <c r="AG93" s="64"/>
      <c r="AH93" s="74" t="s">
        <v>1319</v>
      </c>
      <c r="AI93" s="73">
        <f t="shared" ca="1" si="225"/>
        <v>0</v>
      </c>
      <c r="AJ93" s="64"/>
      <c r="AK93" s="74" t="s">
        <v>497</v>
      </c>
      <c r="AL93" s="73">
        <f t="shared" ca="1" si="225"/>
        <v>0</v>
      </c>
      <c r="AM93" s="64"/>
      <c r="AN93" s="74" t="s">
        <v>497</v>
      </c>
      <c r="AO93" s="73">
        <f t="shared" ca="1" si="225"/>
        <v>0</v>
      </c>
      <c r="AP93" s="64"/>
      <c r="AQ93" s="74" t="s">
        <v>497</v>
      </c>
      <c r="AR93" s="73">
        <f t="shared" ca="1" si="225"/>
        <v>0</v>
      </c>
      <c r="AS93" s="64"/>
      <c r="AT93" s="74" t="s">
        <v>497</v>
      </c>
      <c r="AU93" s="73">
        <f t="shared" ca="1" si="225"/>
        <v>0</v>
      </c>
      <c r="AV93" s="64"/>
      <c r="AW93" s="74" t="s">
        <v>1319</v>
      </c>
      <c r="AX93" s="73">
        <f t="shared" ca="1" si="225"/>
        <v>0</v>
      </c>
      <c r="AY93" s="64"/>
      <c r="AZ93" s="74" t="s">
        <v>497</v>
      </c>
      <c r="BA93" s="73">
        <f t="shared" ca="1" si="225"/>
        <v>0</v>
      </c>
      <c r="BB93" s="64"/>
      <c r="BC93" s="74" t="s">
        <v>1257</v>
      </c>
      <c r="BD93" s="73">
        <f t="shared" ca="1" si="225"/>
        <v>0</v>
      </c>
      <c r="BE93" s="64"/>
      <c r="BF93" s="74" t="s">
        <v>1835</v>
      </c>
      <c r="BG93" s="73">
        <f t="shared" ca="1" si="225"/>
        <v>0</v>
      </c>
      <c r="BH93" s="64"/>
      <c r="BI93" s="74" t="s">
        <v>497</v>
      </c>
      <c r="BJ93" s="73">
        <f t="shared" ca="1" si="225"/>
        <v>0</v>
      </c>
      <c r="BK93" s="64"/>
      <c r="BL93" s="74" t="s">
        <v>1319</v>
      </c>
      <c r="BM93" s="73">
        <f t="shared" ca="1" si="225"/>
        <v>0</v>
      </c>
      <c r="BN93" s="64"/>
      <c r="BO93" s="74" t="s">
        <v>1835</v>
      </c>
      <c r="BP93" s="73">
        <f t="shared" ca="1" si="225"/>
        <v>0</v>
      </c>
      <c r="BQ93" s="64"/>
      <c r="BR93" s="74" t="s">
        <v>1319</v>
      </c>
      <c r="BS93" s="73">
        <f t="shared" ca="1" si="225"/>
        <v>0</v>
      </c>
      <c r="BT93" s="64"/>
      <c r="BU93" s="74" t="s">
        <v>1835</v>
      </c>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5</v>
      </c>
      <c r="G94" s="445">
        <f ca="1">VLOOKUP(H94,Equipos!$Q$1:$R$25,2,0)</f>
        <v>16</v>
      </c>
      <c r="H94" s="446">
        <f ca="1">$H$60</f>
        <v>46199</v>
      </c>
      <c r="I94" s="50"/>
      <c r="J94" s="792"/>
      <c r="K94" s="56" t="str">
        <f>Idiomas!D164</f>
        <v>3º GRUPO D</v>
      </c>
      <c r="L94" s="53"/>
      <c r="M94" s="55" t="str">
        <f ca="1">IF(OR(SUM(WORLDCUP!$AN$30:$AN$33)=12,WORLDCUP!$AJ$99=144),WORLDCUP!AL32,LEFT(K94,1)&amp;RIGHT(K94,1))</f>
        <v>3D</v>
      </c>
      <c r="N94" s="25"/>
      <c r="O94" s="25"/>
      <c r="P94" s="25"/>
      <c r="Q94" s="25"/>
      <c r="R94" s="110"/>
      <c r="S94" s="74" t="s">
        <v>1257</v>
      </c>
      <c r="T94" s="73">
        <f t="shared" ref="T94" ca="1" si="228">($M94=S94)*$D$13</f>
        <v>0</v>
      </c>
      <c r="U94" s="64"/>
      <c r="V94" s="74" t="s">
        <v>1319</v>
      </c>
      <c r="W94" s="73">
        <f t="shared" ref="W94:CH94" ca="1" si="229">($M94=V94)*$D$13</f>
        <v>0</v>
      </c>
      <c r="X94" s="64"/>
      <c r="Y94" s="74" t="s">
        <v>1319</v>
      </c>
      <c r="Z94" s="73">
        <f t="shared" ca="1" si="229"/>
        <v>0</v>
      </c>
      <c r="AA94" s="64"/>
      <c r="AB94" s="74" t="s">
        <v>1835</v>
      </c>
      <c r="AC94" s="73">
        <f t="shared" ca="1" si="229"/>
        <v>0</v>
      </c>
      <c r="AD94" s="64"/>
      <c r="AE94" s="74" t="s">
        <v>1257</v>
      </c>
      <c r="AF94" s="73">
        <f t="shared" ca="1" si="229"/>
        <v>0</v>
      </c>
      <c r="AG94" s="64"/>
      <c r="AH94" s="74" t="s">
        <v>1835</v>
      </c>
      <c r="AI94" s="73">
        <f t="shared" ca="1" si="229"/>
        <v>0</v>
      </c>
      <c r="AJ94" s="64"/>
      <c r="AK94" s="74" t="s">
        <v>1319</v>
      </c>
      <c r="AL94" s="73">
        <f t="shared" ca="1" si="229"/>
        <v>0</v>
      </c>
      <c r="AM94" s="64"/>
      <c r="AN94" s="74" t="s">
        <v>1835</v>
      </c>
      <c r="AO94" s="73">
        <f t="shared" ca="1" si="229"/>
        <v>0</v>
      </c>
      <c r="AP94" s="64"/>
      <c r="AQ94" s="74" t="s">
        <v>1319</v>
      </c>
      <c r="AR94" s="73">
        <f t="shared" ca="1" si="229"/>
        <v>0</v>
      </c>
      <c r="AS94" s="64"/>
      <c r="AT94" s="74" t="s">
        <v>1319</v>
      </c>
      <c r="AU94" s="73">
        <f t="shared" ca="1" si="229"/>
        <v>0</v>
      </c>
      <c r="AV94" s="64"/>
      <c r="AW94" s="74" t="s">
        <v>1257</v>
      </c>
      <c r="AX94" s="73">
        <f t="shared" ca="1" si="229"/>
        <v>0</v>
      </c>
      <c r="AY94" s="64"/>
      <c r="AZ94" s="74" t="s">
        <v>1319</v>
      </c>
      <c r="BA94" s="73">
        <f t="shared" ca="1" si="229"/>
        <v>0</v>
      </c>
      <c r="BB94" s="64"/>
      <c r="BC94" s="74" t="s">
        <v>497</v>
      </c>
      <c r="BD94" s="73">
        <f t="shared" ca="1" si="229"/>
        <v>0</v>
      </c>
      <c r="BE94" s="64"/>
      <c r="BF94" s="74" t="s">
        <v>1319</v>
      </c>
      <c r="BG94" s="73">
        <f t="shared" ca="1" si="229"/>
        <v>0</v>
      </c>
      <c r="BH94" s="64"/>
      <c r="BI94" s="74" t="s">
        <v>1319</v>
      </c>
      <c r="BJ94" s="73">
        <f t="shared" ca="1" si="229"/>
        <v>0</v>
      </c>
      <c r="BK94" s="64"/>
      <c r="BL94" s="74" t="s">
        <v>1257</v>
      </c>
      <c r="BM94" s="73">
        <f t="shared" ca="1" si="229"/>
        <v>0</v>
      </c>
      <c r="BN94" s="64"/>
      <c r="BO94" s="74" t="s">
        <v>1319</v>
      </c>
      <c r="BP94" s="73">
        <f t="shared" ca="1" si="229"/>
        <v>0</v>
      </c>
      <c r="BQ94" s="64"/>
      <c r="BR94" s="74" t="s">
        <v>1835</v>
      </c>
      <c r="BS94" s="73">
        <f t="shared" ca="1" si="229"/>
        <v>0</v>
      </c>
      <c r="BT94" s="64"/>
      <c r="BU94" s="74" t="s">
        <v>1319</v>
      </c>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5</v>
      </c>
      <c r="G95" s="445">
        <f ca="1">VLOOKUP(H95,Equipos!$Q$1:$R$25,2,0)</f>
        <v>16</v>
      </c>
      <c r="H95" s="446">
        <f ca="1">$H$60</f>
        <v>46199</v>
      </c>
      <c r="I95" s="50"/>
      <c r="J95" s="792"/>
      <c r="K95" s="56" t="str">
        <f>Idiomas!D165</f>
        <v>4º GRUPO D</v>
      </c>
      <c r="L95" s="53"/>
      <c r="M95" s="55" t="str">
        <f ca="1">IF(OR(SUM(WORLDCUP!$AN$30:$AN$33)=12,WORLDCUP!$AJ$99=144),WORLDCUP!AL33,LEFT(K95,1)&amp;RIGHT(K95,1))</f>
        <v>4D</v>
      </c>
      <c r="N95" s="25"/>
      <c r="O95" s="25"/>
      <c r="P95" s="25"/>
      <c r="Q95" s="25"/>
      <c r="R95" s="110"/>
      <c r="S95" s="74" t="s">
        <v>1319</v>
      </c>
      <c r="T95" s="73">
        <f t="shared" ref="T95" ca="1" si="232">($M95=S95)*$D$14</f>
        <v>0</v>
      </c>
      <c r="U95" s="64"/>
      <c r="V95" s="74" t="s">
        <v>1257</v>
      </c>
      <c r="W95" s="73">
        <f t="shared" ref="W95:CH95" ca="1" si="233">($M95=V95)*$D$14</f>
        <v>0</v>
      </c>
      <c r="X95" s="64"/>
      <c r="Y95" s="74" t="s">
        <v>1257</v>
      </c>
      <c r="Z95" s="73">
        <f t="shared" ca="1" si="233"/>
        <v>0</v>
      </c>
      <c r="AA95" s="64"/>
      <c r="AB95" s="74" t="s">
        <v>1319</v>
      </c>
      <c r="AC95" s="73">
        <f t="shared" ca="1" si="233"/>
        <v>0</v>
      </c>
      <c r="AD95" s="64"/>
      <c r="AE95" s="74" t="s">
        <v>1835</v>
      </c>
      <c r="AF95" s="73">
        <f t="shared" ca="1" si="233"/>
        <v>0</v>
      </c>
      <c r="AG95" s="64"/>
      <c r="AH95" s="74" t="s">
        <v>1257</v>
      </c>
      <c r="AI95" s="73">
        <f t="shared" ca="1" si="233"/>
        <v>0</v>
      </c>
      <c r="AJ95" s="64"/>
      <c r="AK95" s="74" t="s">
        <v>1257</v>
      </c>
      <c r="AL95" s="73">
        <f t="shared" ca="1" si="233"/>
        <v>0</v>
      </c>
      <c r="AM95" s="64"/>
      <c r="AN95" s="74" t="s">
        <v>1319</v>
      </c>
      <c r="AO95" s="73">
        <f t="shared" ca="1" si="233"/>
        <v>0</v>
      </c>
      <c r="AP95" s="64"/>
      <c r="AQ95" s="74" t="s">
        <v>1257</v>
      </c>
      <c r="AR95" s="73">
        <f t="shared" ca="1" si="233"/>
        <v>0</v>
      </c>
      <c r="AS95" s="64"/>
      <c r="AT95" s="74" t="s">
        <v>1257</v>
      </c>
      <c r="AU95" s="73">
        <f t="shared" ca="1" si="233"/>
        <v>0</v>
      </c>
      <c r="AV95" s="64"/>
      <c r="AW95" s="74" t="s">
        <v>497</v>
      </c>
      <c r="AX95" s="73">
        <f t="shared" ca="1" si="233"/>
        <v>0</v>
      </c>
      <c r="AY95" s="64"/>
      <c r="AZ95" s="74" t="s">
        <v>1257</v>
      </c>
      <c r="BA95" s="73">
        <f t="shared" ca="1" si="233"/>
        <v>0</v>
      </c>
      <c r="BB95" s="64"/>
      <c r="BC95" s="74" t="s">
        <v>1319</v>
      </c>
      <c r="BD95" s="73">
        <f t="shared" ca="1" si="233"/>
        <v>0</v>
      </c>
      <c r="BE95" s="64"/>
      <c r="BF95" s="74" t="s">
        <v>1257</v>
      </c>
      <c r="BG95" s="73">
        <f t="shared" ca="1" si="233"/>
        <v>0</v>
      </c>
      <c r="BH95" s="64"/>
      <c r="BI95" s="74" t="s">
        <v>1257</v>
      </c>
      <c r="BJ95" s="73">
        <f t="shared" ca="1" si="233"/>
        <v>0</v>
      </c>
      <c r="BK95" s="64"/>
      <c r="BL95" s="74" t="s">
        <v>1835</v>
      </c>
      <c r="BM95" s="73">
        <f t="shared" ca="1" si="233"/>
        <v>0</v>
      </c>
      <c r="BN95" s="64"/>
      <c r="BO95" s="74" t="s">
        <v>1257</v>
      </c>
      <c r="BP95" s="73">
        <f t="shared" ca="1" si="233"/>
        <v>0</v>
      </c>
      <c r="BQ95" s="64"/>
      <c r="BR95" s="74" t="s">
        <v>1257</v>
      </c>
      <c r="BS95" s="73">
        <f t="shared" ca="1" si="233"/>
        <v>0</v>
      </c>
      <c r="BT95" s="64"/>
      <c r="BU95" s="74" t="s">
        <v>1257</v>
      </c>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5</v>
      </c>
      <c r="G96" s="445">
        <f ca="1">VLOOKUP(H96,Equipos!$Q$1:$R$25,2,0)</f>
        <v>16</v>
      </c>
      <c r="H96" s="446">
        <f ca="1">$H$62</f>
        <v>46199</v>
      </c>
      <c r="I96" s="50"/>
      <c r="J96" s="793"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1633</v>
      </c>
      <c r="Z96" s="73">
        <f t="shared" ca="1" si="237"/>
        <v>0</v>
      </c>
      <c r="AA96" s="64"/>
      <c r="AB96" s="74" t="s">
        <v>77</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77</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5</v>
      </c>
      <c r="G97" s="445">
        <f ca="1">VLOOKUP(H97,Equipos!$Q$1:$R$25,2,0)</f>
        <v>16</v>
      </c>
      <c r="H97" s="446">
        <f ca="1">$H$62</f>
        <v>46199</v>
      </c>
      <c r="I97" s="50"/>
      <c r="J97" s="793"/>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77</v>
      </c>
      <c r="W97" s="73">
        <f t="shared" ref="W97:CH97" ca="1" si="241">($M97=V97)*$D$12</f>
        <v>0</v>
      </c>
      <c r="X97" s="64"/>
      <c r="Y97" s="74" t="s">
        <v>1261</v>
      </c>
      <c r="Z97" s="73">
        <f t="shared" ca="1" si="241"/>
        <v>0</v>
      </c>
      <c r="AA97" s="64"/>
      <c r="AB97" s="74" t="s">
        <v>1261</v>
      </c>
      <c r="AC97" s="73">
        <f t="shared" ca="1" si="241"/>
        <v>0</v>
      </c>
      <c r="AD97" s="64"/>
      <c r="AE97" s="74" t="s">
        <v>1726</v>
      </c>
      <c r="AF97" s="73">
        <f t="shared" ca="1" si="241"/>
        <v>0</v>
      </c>
      <c r="AG97" s="64"/>
      <c r="AH97" s="74" t="s">
        <v>1633</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1633</v>
      </c>
      <c r="AU97" s="73">
        <f t="shared" ca="1" si="241"/>
        <v>0</v>
      </c>
      <c r="AV97" s="64"/>
      <c r="AW97" s="74" t="s">
        <v>1261</v>
      </c>
      <c r="AX97" s="73">
        <f t="shared" ca="1" si="241"/>
        <v>0</v>
      </c>
      <c r="AY97" s="64"/>
      <c r="AZ97" s="74" t="s">
        <v>1633</v>
      </c>
      <c r="BA97" s="73">
        <f t="shared" ca="1" si="241"/>
        <v>0</v>
      </c>
      <c r="BB97" s="64"/>
      <c r="BC97" s="74" t="s">
        <v>1261</v>
      </c>
      <c r="BD97" s="73">
        <f t="shared" ca="1" si="241"/>
        <v>0</v>
      </c>
      <c r="BE97" s="64"/>
      <c r="BF97" s="74" t="s">
        <v>1261</v>
      </c>
      <c r="BG97" s="73">
        <f t="shared" ca="1" si="241"/>
        <v>0</v>
      </c>
      <c r="BH97" s="64"/>
      <c r="BI97" s="74" t="s">
        <v>1261</v>
      </c>
      <c r="BJ97" s="73">
        <f t="shared" ca="1" si="241"/>
        <v>0</v>
      </c>
      <c r="BK97" s="64"/>
      <c r="BL97" s="74" t="s">
        <v>1726</v>
      </c>
      <c r="BM97" s="73">
        <f t="shared" ca="1" si="241"/>
        <v>0</v>
      </c>
      <c r="BN97" s="64"/>
      <c r="BO97" s="74" t="s">
        <v>1633</v>
      </c>
      <c r="BP97" s="73">
        <f t="shared" ca="1" si="241"/>
        <v>0</v>
      </c>
      <c r="BQ97" s="64"/>
      <c r="BR97" s="74" t="s">
        <v>1261</v>
      </c>
      <c r="BS97" s="73">
        <f t="shared" ca="1" si="241"/>
        <v>0</v>
      </c>
      <c r="BT97" s="64"/>
      <c r="BU97" s="74" t="s">
        <v>1261</v>
      </c>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5</v>
      </c>
      <c r="G98" s="445">
        <f ca="1">VLOOKUP(H98,Equipos!$Q$1:$R$25,2,0)</f>
        <v>16</v>
      </c>
      <c r="H98" s="446">
        <f ca="1">$H$62</f>
        <v>46199</v>
      </c>
      <c r="I98" s="50"/>
      <c r="J98" s="793"/>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77</v>
      </c>
      <c r="Z98" s="73">
        <f t="shared" ca="1" si="245"/>
        <v>0</v>
      </c>
      <c r="AA98" s="64"/>
      <c r="AB98" s="74" t="s">
        <v>1633</v>
      </c>
      <c r="AC98" s="73">
        <f t="shared" ca="1" si="245"/>
        <v>0</v>
      </c>
      <c r="AD98" s="64"/>
      <c r="AE98" s="74" t="s">
        <v>1633</v>
      </c>
      <c r="AF98" s="73">
        <f t="shared" ca="1" si="245"/>
        <v>0</v>
      </c>
      <c r="AG98" s="64"/>
      <c r="AH98" s="74" t="s">
        <v>1261</v>
      </c>
      <c r="AI98" s="73">
        <f t="shared" ca="1" si="245"/>
        <v>0</v>
      </c>
      <c r="AJ98" s="64"/>
      <c r="AK98" s="74" t="s">
        <v>1633</v>
      </c>
      <c r="AL98" s="73">
        <f t="shared" ca="1" si="245"/>
        <v>0</v>
      </c>
      <c r="AM98" s="64"/>
      <c r="AN98" s="74" t="s">
        <v>1726</v>
      </c>
      <c r="AO98" s="73">
        <f t="shared" ca="1" si="245"/>
        <v>0</v>
      </c>
      <c r="AP98" s="64"/>
      <c r="AQ98" s="74" t="s">
        <v>1633</v>
      </c>
      <c r="AR98" s="73">
        <f t="shared" ca="1" si="245"/>
        <v>0</v>
      </c>
      <c r="AS98" s="64"/>
      <c r="AT98" s="74" t="s">
        <v>1261</v>
      </c>
      <c r="AU98" s="73">
        <f t="shared" ca="1" si="245"/>
        <v>0</v>
      </c>
      <c r="AV98" s="64"/>
      <c r="AW98" s="74" t="s">
        <v>1633</v>
      </c>
      <c r="AX98" s="73">
        <f t="shared" ca="1" si="245"/>
        <v>0</v>
      </c>
      <c r="AY98" s="64"/>
      <c r="AZ98" s="74" t="s">
        <v>1261</v>
      </c>
      <c r="BA98" s="73">
        <f t="shared" ca="1" si="245"/>
        <v>0</v>
      </c>
      <c r="BB98" s="64"/>
      <c r="BC98" s="74" t="s">
        <v>1633</v>
      </c>
      <c r="BD98" s="73">
        <f t="shared" ca="1" si="245"/>
        <v>0</v>
      </c>
      <c r="BE98" s="64"/>
      <c r="BF98" s="74" t="s">
        <v>1633</v>
      </c>
      <c r="BG98" s="73">
        <f t="shared" ca="1" si="245"/>
        <v>0</v>
      </c>
      <c r="BH98" s="64"/>
      <c r="BI98" s="74" t="s">
        <v>1633</v>
      </c>
      <c r="BJ98" s="73">
        <f t="shared" ca="1" si="245"/>
        <v>0</v>
      </c>
      <c r="BK98" s="64"/>
      <c r="BL98" s="74" t="s">
        <v>1633</v>
      </c>
      <c r="BM98" s="73">
        <f t="shared" ca="1" si="245"/>
        <v>0</v>
      </c>
      <c r="BN98" s="64"/>
      <c r="BO98" s="74" t="s">
        <v>1261</v>
      </c>
      <c r="BP98" s="73">
        <f t="shared" ca="1" si="245"/>
        <v>0</v>
      </c>
      <c r="BQ98" s="64"/>
      <c r="BR98" s="74" t="s">
        <v>1633</v>
      </c>
      <c r="BS98" s="73">
        <f t="shared" ca="1" si="245"/>
        <v>0</v>
      </c>
      <c r="BT98" s="64"/>
      <c r="BU98" s="74" t="s">
        <v>1633</v>
      </c>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5</v>
      </c>
      <c r="G99" s="445">
        <f ca="1">VLOOKUP(H99,Equipos!$Q$1:$R$25,2,0)</f>
        <v>16</v>
      </c>
      <c r="H99" s="446">
        <f ca="1">$H$62</f>
        <v>46199</v>
      </c>
      <c r="I99" s="50"/>
      <c r="J99" s="793"/>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t="s">
        <v>1726</v>
      </c>
      <c r="AC99" s="73">
        <f t="shared" ca="1" si="249"/>
        <v>0</v>
      </c>
      <c r="AD99" s="64"/>
      <c r="AE99" s="74" t="s">
        <v>1261</v>
      </c>
      <c r="AF99" s="73">
        <f t="shared" ca="1" si="249"/>
        <v>0</v>
      </c>
      <c r="AG99" s="64"/>
      <c r="AH99" s="74" t="s">
        <v>1726</v>
      </c>
      <c r="AI99" s="73">
        <f t="shared" ca="1" si="249"/>
        <v>0</v>
      </c>
      <c r="AJ99" s="64"/>
      <c r="AK99" s="74" t="s">
        <v>1726</v>
      </c>
      <c r="AL99" s="73">
        <f t="shared" ca="1" si="249"/>
        <v>0</v>
      </c>
      <c r="AM99" s="64"/>
      <c r="AN99" s="74" t="s">
        <v>1633</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1261</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5</v>
      </c>
      <c r="G100" s="445">
        <f ca="1">VLOOKUP(H100,Equipos!$Q$1:$R$25,2,0)</f>
        <v>16</v>
      </c>
      <c r="H100" s="446">
        <f ca="1">$H$64</f>
        <v>46199</v>
      </c>
      <c r="I100" s="50"/>
      <c r="J100" s="792" t="s">
        <v>4</v>
      </c>
      <c r="K100" s="56" t="str">
        <f>Idiomas!D170</f>
        <v>1º GRUPO F</v>
      </c>
      <c r="L100" s="53"/>
      <c r="M100" s="55" t="str">
        <f ca="1">IF(OR(SUM(WORLDCUP!$AN$46:$AN$49)=12,WORLDCUP!$AJ$99=144),WORLDCUP!AL46,LEFT(K100,1)&amp;RIGHT(K100,1))</f>
        <v>1F</v>
      </c>
      <c r="N100" s="25"/>
      <c r="O100" s="25"/>
      <c r="P100" s="25"/>
      <c r="Q100" s="25"/>
      <c r="R100" s="110"/>
      <c r="S100" s="74" t="s">
        <v>1263</v>
      </c>
      <c r="T100" s="73">
        <f t="shared" ref="T100" ca="1" si="252">($M100=S100)*$D$11</f>
        <v>0</v>
      </c>
      <c r="U100" s="64"/>
      <c r="V100" s="74" t="s">
        <v>111</v>
      </c>
      <c r="W100" s="73">
        <f t="shared" ref="W100:CH100" ca="1" si="253">($M100=V100)*$D$11</f>
        <v>0</v>
      </c>
      <c r="X100" s="64"/>
      <c r="Y100" s="74" t="s">
        <v>111</v>
      </c>
      <c r="Z100" s="73">
        <f t="shared" ca="1" si="253"/>
        <v>0</v>
      </c>
      <c r="AA100" s="64"/>
      <c r="AB100" s="74" t="s">
        <v>111</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1833</v>
      </c>
      <c r="AU100" s="73">
        <f t="shared" ca="1" si="253"/>
        <v>0</v>
      </c>
      <c r="AV100" s="64"/>
      <c r="AW100" s="74" t="s">
        <v>111</v>
      </c>
      <c r="AX100" s="73">
        <f t="shared" ca="1" si="253"/>
        <v>0</v>
      </c>
      <c r="AY100" s="64"/>
      <c r="AZ100" s="74" t="s">
        <v>111</v>
      </c>
      <c r="BA100" s="73">
        <f t="shared" ca="1" si="253"/>
        <v>0</v>
      </c>
      <c r="BB100" s="64"/>
      <c r="BC100" s="74" t="s">
        <v>1263</v>
      </c>
      <c r="BD100" s="73">
        <f t="shared" ca="1" si="253"/>
        <v>0</v>
      </c>
      <c r="BE100" s="64"/>
      <c r="BF100" s="74" t="s">
        <v>111</v>
      </c>
      <c r="BG100" s="73">
        <f t="shared" ca="1" si="253"/>
        <v>0</v>
      </c>
      <c r="BH100" s="64"/>
      <c r="BI100" s="74" t="s">
        <v>1263</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5</v>
      </c>
      <c r="G101" s="445">
        <f ca="1">VLOOKUP(H101,Equipos!$Q$1:$R$25,2,0)</f>
        <v>16</v>
      </c>
      <c r="H101" s="446">
        <f ca="1">$H$64</f>
        <v>46199</v>
      </c>
      <c r="I101" s="50"/>
      <c r="J101" s="792"/>
      <c r="K101" s="56" t="str">
        <f>Idiomas!D171</f>
        <v>2º GRUPO F</v>
      </c>
      <c r="L101" s="53"/>
      <c r="M101" s="55" t="str">
        <f ca="1">IF(OR(SUM(WORLDCUP!$AN$46:$AN$49)=12,WORLDCUP!$AJ$99=144),WORLDCUP!AL47,LEFT(K101,1)&amp;RIGHT(K101,1))</f>
        <v>2F</v>
      </c>
      <c r="N101" s="25"/>
      <c r="O101" s="25"/>
      <c r="P101" s="25"/>
      <c r="Q101" s="25"/>
      <c r="R101" s="110"/>
      <c r="S101" s="74" t="s">
        <v>1833</v>
      </c>
      <c r="T101" s="73">
        <f t="shared" ref="T101" ca="1" si="256">($M101=S101)*$D$12</f>
        <v>0</v>
      </c>
      <c r="U101" s="64"/>
      <c r="V101" s="74" t="s">
        <v>1263</v>
      </c>
      <c r="W101" s="73">
        <f t="shared" ref="W101:CH101" ca="1" si="257">($M101=V101)*$D$12</f>
        <v>0</v>
      </c>
      <c r="X101" s="64"/>
      <c r="Y101" s="74" t="s">
        <v>1833</v>
      </c>
      <c r="Z101" s="73">
        <f t="shared" ca="1" si="257"/>
        <v>0</v>
      </c>
      <c r="AA101" s="64"/>
      <c r="AB101" s="74" t="s">
        <v>1263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1263</v>
      </c>
      <c r="AR101" s="73">
        <f t="shared" ca="1" si="257"/>
        <v>0</v>
      </c>
      <c r="AS101" s="64"/>
      <c r="AT101" s="74" t="s">
        <v>111</v>
      </c>
      <c r="AU101" s="73">
        <f t="shared" ca="1" si="257"/>
        <v>0</v>
      </c>
      <c r="AV101" s="64"/>
      <c r="AW101" s="74" t="s">
        <v>1263</v>
      </c>
      <c r="AX101" s="73">
        <f t="shared" ca="1" si="257"/>
        <v>0</v>
      </c>
      <c r="AY101" s="64"/>
      <c r="AZ101" s="74" t="s">
        <v>1833</v>
      </c>
      <c r="BA101" s="73">
        <f t="shared" ca="1" si="257"/>
        <v>0</v>
      </c>
      <c r="BB101" s="64"/>
      <c r="BC101" s="74" t="s">
        <v>111</v>
      </c>
      <c r="BD101" s="73">
        <f t="shared" ca="1" si="257"/>
        <v>0</v>
      </c>
      <c r="BE101" s="64"/>
      <c r="BF101" s="74" t="s">
        <v>1263</v>
      </c>
      <c r="BG101" s="73">
        <f t="shared" ca="1" si="257"/>
        <v>0</v>
      </c>
      <c r="BH101" s="64"/>
      <c r="BI101" s="74" t="s">
        <v>111</v>
      </c>
      <c r="BJ101" s="73">
        <f t="shared" ca="1" si="257"/>
        <v>0</v>
      </c>
      <c r="BK101" s="64"/>
      <c r="BL101" s="74" t="s">
        <v>1263</v>
      </c>
      <c r="BM101" s="73">
        <f t="shared" ca="1" si="257"/>
        <v>0</v>
      </c>
      <c r="BN101" s="64"/>
      <c r="BO101" s="74" t="s">
        <v>1263</v>
      </c>
      <c r="BP101" s="73">
        <f t="shared" ca="1" si="257"/>
        <v>0</v>
      </c>
      <c r="BQ101" s="64"/>
      <c r="BR101" s="74" t="s">
        <v>1833</v>
      </c>
      <c r="BS101" s="73">
        <f t="shared" ca="1" si="257"/>
        <v>0</v>
      </c>
      <c r="BT101" s="64"/>
      <c r="BU101" s="74" t="s">
        <v>1263</v>
      </c>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5</v>
      </c>
      <c r="G102" s="445">
        <f ca="1">VLOOKUP(H102,Equipos!$Q$1:$R$25,2,0)</f>
        <v>16</v>
      </c>
      <c r="H102" s="446">
        <f ca="1">$H$64</f>
        <v>46199</v>
      </c>
      <c r="I102" s="50"/>
      <c r="J102" s="792"/>
      <c r="K102" s="56" t="str">
        <f>Idiomas!D172</f>
        <v>3º GRUPO F</v>
      </c>
      <c r="L102" s="53"/>
      <c r="M102" s="55" t="str">
        <f ca="1">IF(OR(SUM(WORLDCUP!$AN$46:$AN$49)=12,WORLDCUP!$AJ$99=144),WORLDCUP!AL48,LEFT(K102,1)&amp;RIGHT(K102,1))</f>
        <v>3F</v>
      </c>
      <c r="N102" s="25"/>
      <c r="O102" s="25"/>
      <c r="P102" s="25"/>
      <c r="Q102" s="25"/>
      <c r="R102" s="110"/>
      <c r="S102" s="74" t="s">
        <v>111</v>
      </c>
      <c r="T102" s="73">
        <f t="shared" ref="T102" ca="1" si="260">($M102=S102)*$D$13</f>
        <v>0</v>
      </c>
      <c r="U102" s="64"/>
      <c r="V102" s="74" t="s">
        <v>1833</v>
      </c>
      <c r="W102" s="73">
        <f t="shared" ref="W102:CH102" ca="1" si="261">($M102=V102)*$D$13</f>
        <v>0</v>
      </c>
      <c r="X102" s="64"/>
      <c r="Y102" s="74" t="s">
        <v>1263</v>
      </c>
      <c r="Z102" s="73">
        <f t="shared" ca="1" si="261"/>
        <v>0</v>
      </c>
      <c r="AA102" s="64"/>
      <c r="AB102" s="74" t="s">
        <v>1833</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1833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1833</v>
      </c>
      <c r="BG102" s="73">
        <f t="shared" ca="1" si="261"/>
        <v>0</v>
      </c>
      <c r="BH102" s="64"/>
      <c r="BI102" s="74" t="s">
        <v>1833</v>
      </c>
      <c r="BJ102" s="73">
        <f t="shared" ca="1" si="261"/>
        <v>0</v>
      </c>
      <c r="BK102" s="64"/>
      <c r="BL102" s="74" t="s">
        <v>1833</v>
      </c>
      <c r="BM102" s="73">
        <f t="shared" ca="1" si="261"/>
        <v>0</v>
      </c>
      <c r="BN102" s="64"/>
      <c r="BO102" s="74" t="s">
        <v>1322</v>
      </c>
      <c r="BP102" s="73">
        <f t="shared" ca="1" si="261"/>
        <v>0</v>
      </c>
      <c r="BQ102" s="64"/>
      <c r="BR102" s="74" t="s">
        <v>1263</v>
      </c>
      <c r="BS102" s="73">
        <f t="shared" ca="1" si="261"/>
        <v>0</v>
      </c>
      <c r="BT102" s="64"/>
      <c r="BU102" s="74" t="s">
        <v>1833</v>
      </c>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5</v>
      </c>
      <c r="G103" s="445">
        <f ca="1">VLOOKUP(H103,Equipos!$Q$1:$R$25,2,0)</f>
        <v>16</v>
      </c>
      <c r="H103" s="446">
        <f ca="1">$H$64</f>
        <v>46199</v>
      </c>
      <c r="I103" s="50"/>
      <c r="J103" s="792"/>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1833</v>
      </c>
      <c r="BP103" s="73">
        <f t="shared" ca="1" si="265"/>
        <v>0</v>
      </c>
      <c r="BQ103" s="64"/>
      <c r="BR103" s="74" t="s">
        <v>1322</v>
      </c>
      <c r="BS103" s="73">
        <f t="shared" ca="1" si="265"/>
        <v>0</v>
      </c>
      <c r="BT103" s="64"/>
      <c r="BU103" s="74" t="s">
        <v>1322</v>
      </c>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5</v>
      </c>
      <c r="G104" s="445">
        <f ca="1">VLOOKUP(H104,Equipos!$Q$1:$R$25,2,0)</f>
        <v>17</v>
      </c>
      <c r="H104" s="446">
        <f ca="1">$H$66</f>
        <v>46200</v>
      </c>
      <c r="I104" s="50"/>
      <c r="J104" s="793"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5</v>
      </c>
      <c r="G105" s="445">
        <f ca="1">VLOOKUP(H105,Equipos!$Q$1:$R$25,2,0)</f>
        <v>17</v>
      </c>
      <c r="H105" s="446">
        <f ca="1">$H$66</f>
        <v>46200</v>
      </c>
      <c r="I105" s="50"/>
      <c r="J105" s="793"/>
      <c r="K105" s="56" t="str">
        <f>Idiomas!D175</f>
        <v>2º GRUPO G</v>
      </c>
      <c r="L105" s="53"/>
      <c r="M105" s="55" t="str">
        <f ca="1">IF(OR(SUM(WORLDCUP!$AN$54:$AN$57)=12,WORLDCUP!$AJ$99=144),WORLDCUP!AL55,LEFT(K105,1)&amp;RIGHT(K105,1))</f>
        <v>2G</v>
      </c>
      <c r="N105" s="25"/>
      <c r="O105" s="25"/>
      <c r="P105" s="25"/>
      <c r="Q105" s="25"/>
      <c r="R105" s="110"/>
      <c r="S105" s="74" t="s">
        <v>1550</v>
      </c>
      <c r="T105" s="73">
        <f t="shared" ref="T105" ca="1" si="272">($M105=S105)*$D$12</f>
        <v>0</v>
      </c>
      <c r="U105" s="64"/>
      <c r="V105" s="74" t="s">
        <v>1550</v>
      </c>
      <c r="W105" s="73">
        <f t="shared" ref="W105:CH105" ca="1" si="273">($M105=V105)*$D$12</f>
        <v>0</v>
      </c>
      <c r="X105" s="64"/>
      <c r="Y105" s="74" t="s">
        <v>1550</v>
      </c>
      <c r="Z105" s="73">
        <f t="shared" ca="1" si="273"/>
        <v>0</v>
      </c>
      <c r="AA105" s="64"/>
      <c r="AB105" s="74" t="s">
        <v>1550</v>
      </c>
      <c r="AC105" s="73">
        <f t="shared" ca="1" si="273"/>
        <v>0</v>
      </c>
      <c r="AD105" s="64"/>
      <c r="AE105" s="74" t="s">
        <v>1550</v>
      </c>
      <c r="AF105" s="73">
        <f t="shared" ca="1" si="273"/>
        <v>0</v>
      </c>
      <c r="AG105" s="64"/>
      <c r="AH105" s="74" t="s">
        <v>1262</v>
      </c>
      <c r="AI105" s="73">
        <f t="shared" ca="1" si="273"/>
        <v>0</v>
      </c>
      <c r="AJ105" s="64"/>
      <c r="AK105" s="74" t="s">
        <v>1550</v>
      </c>
      <c r="AL105" s="73">
        <f t="shared" ca="1" si="273"/>
        <v>0</v>
      </c>
      <c r="AM105" s="64"/>
      <c r="AN105" s="74" t="s">
        <v>1262</v>
      </c>
      <c r="AO105" s="73">
        <f t="shared" ca="1" si="273"/>
        <v>0</v>
      </c>
      <c r="AP105" s="64"/>
      <c r="AQ105" s="74" t="s">
        <v>1550</v>
      </c>
      <c r="AR105" s="73">
        <f t="shared" ca="1" si="273"/>
        <v>0</v>
      </c>
      <c r="AS105" s="64"/>
      <c r="AT105" s="74" t="s">
        <v>1550</v>
      </c>
      <c r="AU105" s="73">
        <f t="shared" ca="1" si="273"/>
        <v>0</v>
      </c>
      <c r="AV105" s="64"/>
      <c r="AW105" s="74" t="s">
        <v>1550</v>
      </c>
      <c r="AX105" s="73">
        <f t="shared" ca="1" si="273"/>
        <v>0</v>
      </c>
      <c r="AY105" s="64"/>
      <c r="AZ105" s="74" t="s">
        <v>1550</v>
      </c>
      <c r="BA105" s="73">
        <f t="shared" ca="1" si="273"/>
        <v>0</v>
      </c>
      <c r="BB105" s="64"/>
      <c r="BC105" s="74" t="s">
        <v>1550</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1262</v>
      </c>
      <c r="BS105" s="73">
        <f t="shared" ca="1" si="273"/>
        <v>0</v>
      </c>
      <c r="BT105" s="64"/>
      <c r="BU105" s="74" t="s">
        <v>1550</v>
      </c>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5</v>
      </c>
      <c r="G106" s="445">
        <f ca="1">VLOOKUP(H106,Equipos!$Q$1:$R$25,2,0)</f>
        <v>17</v>
      </c>
      <c r="H106" s="446">
        <f ca="1">$H$66</f>
        <v>46200</v>
      </c>
      <c r="I106" s="50"/>
      <c r="J106" s="793"/>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1262</v>
      </c>
      <c r="Z106" s="73">
        <f t="shared" ca="1" si="277"/>
        <v>0</v>
      </c>
      <c r="AA106" s="64"/>
      <c r="AB106" s="74" t="s">
        <v>1262</v>
      </c>
      <c r="AC106" s="73">
        <f t="shared" ca="1" si="277"/>
        <v>0</v>
      </c>
      <c r="AD106" s="64"/>
      <c r="AE106" s="74" t="s">
        <v>1262</v>
      </c>
      <c r="AF106" s="73">
        <f t="shared" ca="1" si="277"/>
        <v>0</v>
      </c>
      <c r="AG106" s="64"/>
      <c r="AH106" s="74" t="s">
        <v>1550</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1266</v>
      </c>
      <c r="AU106" s="73">
        <f t="shared" ca="1" si="277"/>
        <v>0</v>
      </c>
      <c r="AV106" s="64"/>
      <c r="AW106" s="74" t="s">
        <v>1262</v>
      </c>
      <c r="AX106" s="73">
        <f t="shared" ca="1" si="277"/>
        <v>0</v>
      </c>
      <c r="AY106" s="64"/>
      <c r="AZ106" s="74" t="s">
        <v>1266</v>
      </c>
      <c r="BA106" s="73">
        <f t="shared" ca="1" si="277"/>
        <v>0</v>
      </c>
      <c r="BB106" s="64"/>
      <c r="BC106" s="74" t="s">
        <v>1262</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1550</v>
      </c>
      <c r="BS106" s="73">
        <f t="shared" ca="1" si="277"/>
        <v>0</v>
      </c>
      <c r="BT106" s="64"/>
      <c r="BU106" s="74" t="s">
        <v>1262</v>
      </c>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5</v>
      </c>
      <c r="G107" s="445">
        <f ca="1">VLOOKUP(H107,Equipos!$Q$1:$R$25,2,0)</f>
        <v>17</v>
      </c>
      <c r="H107" s="446">
        <f ca="1">$H$66</f>
        <v>46200</v>
      </c>
      <c r="I107" s="50"/>
      <c r="J107" s="793"/>
      <c r="K107" s="56" t="str">
        <f>Idiomas!D177</f>
        <v>4º GRUPO G</v>
      </c>
      <c r="L107" s="53"/>
      <c r="M107" s="55" t="str">
        <f ca="1">IF(OR(SUM(WORLDCUP!$AN$54:$AN$57)=12,WORLDCUP!$AJ$99=144),WORLDCUP!AL57,LEFT(K107,1)&amp;RIGHT(K107,1))</f>
        <v>4G</v>
      </c>
      <c r="N107" s="25"/>
      <c r="O107" s="25"/>
      <c r="P107" s="25"/>
      <c r="Q107" s="25"/>
      <c r="R107" s="110"/>
      <c r="S107" s="74" t="s">
        <v>1266</v>
      </c>
      <c r="T107" s="73">
        <f t="shared" ref="T107" ca="1" si="280">($M107=S107)*$D$14</f>
        <v>0</v>
      </c>
      <c r="U107" s="64"/>
      <c r="V107" s="74" t="s">
        <v>1266</v>
      </c>
      <c r="W107" s="73">
        <f t="shared" ref="W107:CH107" ca="1" si="281">($M107=V107)*$D$14</f>
        <v>0</v>
      </c>
      <c r="X107" s="64"/>
      <c r="Y107" s="74" t="s">
        <v>1266</v>
      </c>
      <c r="Z107" s="73">
        <f t="shared" ca="1" si="281"/>
        <v>0</v>
      </c>
      <c r="AA107" s="64"/>
      <c r="AB107" s="74" t="s">
        <v>1266</v>
      </c>
      <c r="AC107" s="73">
        <f t="shared" ca="1" si="281"/>
        <v>0</v>
      </c>
      <c r="AD107" s="64"/>
      <c r="AE107" s="74" t="s">
        <v>1266</v>
      </c>
      <c r="AF107" s="73">
        <f t="shared" ca="1" si="281"/>
        <v>0</v>
      </c>
      <c r="AG107" s="64"/>
      <c r="AH107" s="74" t="s">
        <v>1266</v>
      </c>
      <c r="AI107" s="73">
        <f t="shared" ca="1" si="281"/>
        <v>0</v>
      </c>
      <c r="AJ107" s="64"/>
      <c r="AK107" s="74" t="s">
        <v>1266</v>
      </c>
      <c r="AL107" s="73">
        <f t="shared" ca="1" si="281"/>
        <v>0</v>
      </c>
      <c r="AM107" s="64"/>
      <c r="AN107" s="74" t="s">
        <v>1550</v>
      </c>
      <c r="AO107" s="73">
        <f t="shared" ca="1" si="281"/>
        <v>0</v>
      </c>
      <c r="AP107" s="64"/>
      <c r="AQ107" s="74" t="s">
        <v>1266</v>
      </c>
      <c r="AR107" s="73">
        <f t="shared" ca="1" si="281"/>
        <v>0</v>
      </c>
      <c r="AS107" s="64"/>
      <c r="AT107" s="74" t="s">
        <v>1262</v>
      </c>
      <c r="AU107" s="73">
        <f t="shared" ca="1" si="281"/>
        <v>0</v>
      </c>
      <c r="AV107" s="64"/>
      <c r="AW107" s="74" t="s">
        <v>1266</v>
      </c>
      <c r="AX107" s="73">
        <f t="shared" ca="1" si="281"/>
        <v>0</v>
      </c>
      <c r="AY107" s="64"/>
      <c r="AZ107" s="74" t="s">
        <v>1262</v>
      </c>
      <c r="BA107" s="73">
        <f t="shared" ca="1" si="281"/>
        <v>0</v>
      </c>
      <c r="BB107" s="64"/>
      <c r="BC107" s="74" t="s">
        <v>1266</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5</v>
      </c>
      <c r="G108" s="445">
        <f ca="1">VLOOKUP(H108,Equipos!$Q$1:$R$25,2,0)</f>
        <v>17</v>
      </c>
      <c r="H108" s="446">
        <f ca="1">$H$68</f>
        <v>46200</v>
      </c>
      <c r="I108" s="50"/>
      <c r="J108" s="792"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38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5</v>
      </c>
      <c r="G109" s="445">
        <f ca="1">VLOOKUP(H109,Equipos!$Q$1:$R$25,2,0)</f>
        <v>17</v>
      </c>
      <c r="H109" s="446">
        <f ca="1">$H$68</f>
        <v>46200</v>
      </c>
      <c r="I109" s="50"/>
      <c r="J109" s="792"/>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t="s">
        <v>1318</v>
      </c>
      <c r="AC109" s="73">
        <f t="shared" ca="1" si="289"/>
        <v>0</v>
      </c>
      <c r="AD109" s="64"/>
      <c r="AE109" s="74" t="s">
        <v>1552</v>
      </c>
      <c r="AF109" s="73">
        <f t="shared" ca="1" si="289"/>
        <v>0</v>
      </c>
      <c r="AG109" s="64"/>
      <c r="AH109" s="74" t="s">
        <v>1632</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1318</v>
      </c>
      <c r="BD109" s="73">
        <f t="shared" ca="1" si="289"/>
        <v>0</v>
      </c>
      <c r="BE109" s="64"/>
      <c r="BF109" s="74" t="s">
        <v>1318</v>
      </c>
      <c r="BG109" s="73">
        <f t="shared" ca="1" si="289"/>
        <v>0</v>
      </c>
      <c r="BH109" s="64"/>
      <c r="BI109" s="74" t="s">
        <v>1318</v>
      </c>
      <c r="BJ109" s="73">
        <f t="shared" ca="1" si="289"/>
        <v>0</v>
      </c>
      <c r="BK109" s="64"/>
      <c r="BL109" s="74" t="s">
        <v>1552</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5</v>
      </c>
      <c r="G110" s="445">
        <f ca="1">VLOOKUP(H110,Equipos!$Q$1:$R$25,2,0)</f>
        <v>17</v>
      </c>
      <c r="H110" s="446">
        <f ca="1">$H$68</f>
        <v>46200</v>
      </c>
      <c r="I110" s="50"/>
      <c r="J110" s="792"/>
      <c r="K110" s="56" t="str">
        <f>Idiomas!D180</f>
        <v>3º GRUPO H</v>
      </c>
      <c r="L110" s="53"/>
      <c r="M110" s="55" t="str">
        <f ca="1">IF(OR(SUM(WORLDCUP!$AN$62:$AN$65)=12,WORLDCUP!$AJ$99=144),WORLDCUP!AL64,LEFT(K110,1)&amp;RIGHT(K110,1))</f>
        <v>3H</v>
      </c>
      <c r="N110" s="25"/>
      <c r="O110" s="25"/>
      <c r="P110" s="25"/>
      <c r="Q110" s="25"/>
      <c r="R110" s="110"/>
      <c r="S110" s="74" t="s">
        <v>1632</v>
      </c>
      <c r="T110" s="73">
        <f t="shared" ref="T110" ca="1" si="292">($M110=S110)*$D$13</f>
        <v>0</v>
      </c>
      <c r="U110" s="64"/>
      <c r="V110" s="74" t="s">
        <v>1552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1318</v>
      </c>
      <c r="AI110" s="73">
        <f t="shared" ca="1" si="293"/>
        <v>0</v>
      </c>
      <c r="AJ110" s="64"/>
      <c r="AK110" s="74" t="s">
        <v>1552</v>
      </c>
      <c r="AL110" s="73">
        <f t="shared" ca="1" si="293"/>
        <v>0</v>
      </c>
      <c r="AM110" s="64"/>
      <c r="AN110" s="74" t="s">
        <v>1552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1552</v>
      </c>
      <c r="BG110" s="73">
        <f t="shared" ca="1" si="293"/>
        <v>0</v>
      </c>
      <c r="BH110" s="64"/>
      <c r="BI110" s="74" t="s">
        <v>1552</v>
      </c>
      <c r="BJ110" s="73">
        <f t="shared" ca="1" si="293"/>
        <v>0</v>
      </c>
      <c r="BK110" s="64"/>
      <c r="BL110" s="74" t="s">
        <v>1632</v>
      </c>
      <c r="BM110" s="73">
        <f t="shared" ca="1" si="293"/>
        <v>0</v>
      </c>
      <c r="BN110" s="64"/>
      <c r="BO110" s="74" t="s">
        <v>1632</v>
      </c>
      <c r="BP110" s="73">
        <f t="shared" ca="1" si="293"/>
        <v>0</v>
      </c>
      <c r="BQ110" s="64"/>
      <c r="BR110" s="74" t="s">
        <v>1552</v>
      </c>
      <c r="BS110" s="73">
        <f t="shared" ca="1" si="293"/>
        <v>0</v>
      </c>
      <c r="BT110" s="64"/>
      <c r="BU110" s="74" t="s">
        <v>1552</v>
      </c>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5</v>
      </c>
      <c r="G111" s="445">
        <f ca="1">VLOOKUP(H111,Equipos!$Q$1:$R$25,2,0)</f>
        <v>17</v>
      </c>
      <c r="H111" s="446">
        <f ca="1">$H$68</f>
        <v>46200</v>
      </c>
      <c r="I111" s="50"/>
      <c r="J111" s="792"/>
      <c r="K111" s="56" t="str">
        <f>Idiomas!D181</f>
        <v>4º GRUPO H</v>
      </c>
      <c r="L111" s="53"/>
      <c r="M111" s="55" t="str">
        <f ca="1">IF(OR(SUM(WORLDCUP!$AN$62:$AN$65)=12,WORLDCUP!$AJ$99=144),WORLDCUP!AL65,LEFT(K111,1)&amp;RIGHT(K111,1))</f>
        <v>4H</v>
      </c>
      <c r="N111" s="25"/>
      <c r="O111" s="25"/>
      <c r="P111" s="25"/>
      <c r="Q111" s="25"/>
      <c r="R111" s="110"/>
      <c r="S111" s="74" t="s">
        <v>1552</v>
      </c>
      <c r="T111" s="73">
        <f t="shared" ref="T111" ca="1" si="296">($M111=S111)*$D$14</f>
        <v>0</v>
      </c>
      <c r="U111" s="64"/>
      <c r="V111" s="74" t="s">
        <v>1632</v>
      </c>
      <c r="W111" s="73">
        <f t="shared" ref="W111:CH111" ca="1" si="297">($M111=V111)*$D$14</f>
        <v>0</v>
      </c>
      <c r="X111" s="64"/>
      <c r="Y111" s="74" t="s">
        <v>1632</v>
      </c>
      <c r="Z111" s="73">
        <f t="shared" ca="1" si="297"/>
        <v>0</v>
      </c>
      <c r="AA111" s="64"/>
      <c r="AB111" s="74" t="s">
        <v>1552</v>
      </c>
      <c r="AC111" s="73">
        <f t="shared" ca="1" si="297"/>
        <v>0</v>
      </c>
      <c r="AD111" s="64"/>
      <c r="AE111" s="74" t="s">
        <v>1318</v>
      </c>
      <c r="AF111" s="73">
        <f t="shared" ca="1" si="297"/>
        <v>0</v>
      </c>
      <c r="AG111" s="64"/>
      <c r="AH111" s="74" t="s">
        <v>1552</v>
      </c>
      <c r="AI111" s="73">
        <f t="shared" ca="1" si="297"/>
        <v>0</v>
      </c>
      <c r="AJ111" s="64"/>
      <c r="AK111" s="74" t="s">
        <v>1632</v>
      </c>
      <c r="AL111" s="73">
        <f t="shared" ca="1" si="297"/>
        <v>0</v>
      </c>
      <c r="AM111" s="64"/>
      <c r="AN111" s="74" t="s">
        <v>1632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1632</v>
      </c>
      <c r="BG111" s="73">
        <f t="shared" ca="1" si="297"/>
        <v>0</v>
      </c>
      <c r="BH111" s="64"/>
      <c r="BI111" s="74" t="s">
        <v>1632</v>
      </c>
      <c r="BJ111" s="73">
        <f t="shared" ca="1" si="297"/>
        <v>0</v>
      </c>
      <c r="BK111" s="64"/>
      <c r="BL111" s="74" t="s">
        <v>1318</v>
      </c>
      <c r="BM111" s="73">
        <f t="shared" ca="1" si="297"/>
        <v>0</v>
      </c>
      <c r="BN111" s="64"/>
      <c r="BO111" s="74" t="s">
        <v>1552</v>
      </c>
      <c r="BP111" s="73">
        <f t="shared" ca="1" si="297"/>
        <v>0</v>
      </c>
      <c r="BQ111" s="64"/>
      <c r="BR111" s="74" t="s">
        <v>1632</v>
      </c>
      <c r="BS111" s="73">
        <f t="shared" ca="1" si="297"/>
        <v>0</v>
      </c>
      <c r="BT111" s="64"/>
      <c r="BU111" s="74" t="s">
        <v>1632</v>
      </c>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5</v>
      </c>
      <c r="G112" s="445">
        <f ca="1">VLOOKUP(H112,Equipos!$Q$1:$R$25,2,0)</f>
        <v>16</v>
      </c>
      <c r="H112" s="446">
        <f ca="1">$H$70</f>
        <v>46199</v>
      </c>
      <c r="I112" s="50"/>
      <c r="J112" s="793" t="s">
        <v>438</v>
      </c>
      <c r="K112" s="56" t="str">
        <f>Idiomas!D182</f>
        <v>1º GRUPO I</v>
      </c>
      <c r="L112" s="53"/>
      <c r="M112" s="55" t="str">
        <f ca="1">IF(OR(SUM(WORLDCUP!$AN$70:$AN$73)=12,WORLDCUP!$AJ$99=144),WORLDCUP!AL70,LEFT(K112,1)&amp;RIGHT(K112,1))</f>
        <v>1I</v>
      </c>
      <c r="N112" s="25"/>
      <c r="O112" s="25"/>
      <c r="P112" s="25"/>
      <c r="Q112" s="25"/>
      <c r="R112" s="110"/>
      <c r="S112" s="74" t="s">
        <v>135</v>
      </c>
      <c r="T112" s="73">
        <f t="shared" ref="T112" ca="1" si="300">($M112=S112)*$D$11</f>
        <v>0</v>
      </c>
      <c r="U112" s="64"/>
      <c r="V112" s="74" t="s">
        <v>74</v>
      </c>
      <c r="W112" s="73">
        <f t="shared" ref="W112:CH112" ca="1" si="301">($M112=V112)*$D$11</f>
        <v>0</v>
      </c>
      <c r="X112" s="64"/>
      <c r="Y112" s="74" t="s">
        <v>74</v>
      </c>
      <c r="Z112" s="73">
        <f t="shared" ca="1" si="301"/>
        <v>0</v>
      </c>
      <c r="AA112" s="64"/>
      <c r="AB112" s="74" t="s">
        <v>74</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74</v>
      </c>
      <c r="AX112" s="73">
        <f t="shared" ca="1" si="301"/>
        <v>0</v>
      </c>
      <c r="AY112" s="64"/>
      <c r="AZ112" s="74" t="s">
        <v>74</v>
      </c>
      <c r="BA112" s="73">
        <f t="shared" ca="1" si="301"/>
        <v>0</v>
      </c>
      <c r="BB112" s="64"/>
      <c r="BC112" s="74" t="s">
        <v>135</v>
      </c>
      <c r="BD112" s="73">
        <f t="shared" ca="1" si="301"/>
        <v>0</v>
      </c>
      <c r="BE112" s="64"/>
      <c r="BF112" s="74" t="s">
        <v>74</v>
      </c>
      <c r="BG112" s="73">
        <f t="shared" ca="1" si="301"/>
        <v>0</v>
      </c>
      <c r="BH112" s="64"/>
      <c r="BI112" s="74" t="s">
        <v>1634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5</v>
      </c>
      <c r="G113" s="445">
        <f ca="1">VLOOKUP(H113,Equipos!$Q$1:$R$25,2,0)</f>
        <v>16</v>
      </c>
      <c r="H113" s="446">
        <f ca="1">$H$70</f>
        <v>46199</v>
      </c>
      <c r="I113" s="50"/>
      <c r="J113" s="793"/>
      <c r="K113" s="56" t="str">
        <f>Idiomas!D183</f>
        <v>2º GRUPO I</v>
      </c>
      <c r="L113" s="53"/>
      <c r="M113" s="55" t="str">
        <f ca="1">IF(OR(SUM(WORLDCUP!$AN$70:$AN$73)=12,WORLDCUP!$AJ$99=144),WORLDCUP!AL71,LEFT(K113,1)&amp;RIGHT(K113,1))</f>
        <v>2I</v>
      </c>
      <c r="N113" s="25"/>
      <c r="O113" s="25"/>
      <c r="P113" s="25"/>
      <c r="Q113" s="25"/>
      <c r="R113" s="110"/>
      <c r="S113" s="74" t="s">
        <v>74</v>
      </c>
      <c r="T113" s="73">
        <f t="shared" ref="T113" ca="1" si="304">($M113=S113)*$D$12</f>
        <v>0</v>
      </c>
      <c r="U113" s="64"/>
      <c r="V113" s="74" t="s">
        <v>135</v>
      </c>
      <c r="W113" s="73">
        <f t="shared" ref="W113:CH113" ca="1" si="305">($M113=V113)*$D$12</f>
        <v>0</v>
      </c>
      <c r="X113" s="64"/>
      <c r="Y113" s="74" t="s">
        <v>135</v>
      </c>
      <c r="Z113" s="73">
        <f t="shared" ca="1" si="305"/>
        <v>0</v>
      </c>
      <c r="AA113" s="64"/>
      <c r="AB113" s="74" t="s">
        <v>1634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1634</v>
      </c>
      <c r="AO113" s="73">
        <f t="shared" ca="1" si="305"/>
        <v>0</v>
      </c>
      <c r="AP113" s="64"/>
      <c r="AQ113" s="74" t="s">
        <v>135</v>
      </c>
      <c r="AR113" s="73">
        <f t="shared" ca="1" si="305"/>
        <v>0</v>
      </c>
      <c r="AS113" s="64"/>
      <c r="AT113" s="74" t="s">
        <v>1634</v>
      </c>
      <c r="AU113" s="73">
        <f t="shared" ca="1" si="305"/>
        <v>0</v>
      </c>
      <c r="AV113" s="64"/>
      <c r="AW113" s="74" t="s">
        <v>135</v>
      </c>
      <c r="AX113" s="73">
        <f t="shared" ca="1" si="305"/>
        <v>0</v>
      </c>
      <c r="AY113" s="64"/>
      <c r="AZ113" s="74" t="s">
        <v>135</v>
      </c>
      <c r="BA113" s="73">
        <f t="shared" ca="1" si="305"/>
        <v>0</v>
      </c>
      <c r="BB113" s="64"/>
      <c r="BC113" s="74" t="s">
        <v>74</v>
      </c>
      <c r="BD113" s="73">
        <f t="shared" ca="1" si="305"/>
        <v>0</v>
      </c>
      <c r="BE113" s="64"/>
      <c r="BF113" s="74" t="s">
        <v>135</v>
      </c>
      <c r="BG113" s="73">
        <f t="shared" ca="1" si="305"/>
        <v>0</v>
      </c>
      <c r="BH113" s="64"/>
      <c r="BI113" s="74" t="s">
        <v>74</v>
      </c>
      <c r="BJ113" s="73">
        <f t="shared" ca="1" si="305"/>
        <v>0</v>
      </c>
      <c r="BK113" s="64"/>
      <c r="BL113" s="74" t="s">
        <v>1634</v>
      </c>
      <c r="BM113" s="73">
        <f t="shared" ca="1" si="305"/>
        <v>0</v>
      </c>
      <c r="BN113" s="64"/>
      <c r="BO113" s="74" t="s">
        <v>135</v>
      </c>
      <c r="BP113" s="73">
        <f t="shared" ca="1" si="305"/>
        <v>0</v>
      </c>
      <c r="BQ113" s="64"/>
      <c r="BR113" s="74" t="s">
        <v>1634</v>
      </c>
      <c r="BS113" s="73">
        <f t="shared" ca="1" si="305"/>
        <v>0</v>
      </c>
      <c r="BT113" s="64"/>
      <c r="BU113" s="74" t="s">
        <v>1634</v>
      </c>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5</v>
      </c>
      <c r="G114" s="445">
        <f ca="1">VLOOKUP(H114,Equipos!$Q$1:$R$25,2,0)</f>
        <v>16</v>
      </c>
      <c r="H114" s="446">
        <f ca="1">$H$70</f>
        <v>46199</v>
      </c>
      <c r="I114" s="50"/>
      <c r="J114" s="793"/>
      <c r="K114" s="56" t="str">
        <f>Idiomas!D184</f>
        <v>3º GRUPO I</v>
      </c>
      <c r="L114" s="53"/>
      <c r="M114" s="55" t="str">
        <f ca="1">IF(OR(SUM(WORLDCUP!$AN$70:$AN$73)=12,WORLDCUP!$AJ$99=144),WORLDCUP!AL72,LEFT(K114,1)&amp;RIGHT(K114,1))</f>
        <v>3I</v>
      </c>
      <c r="N114" s="25"/>
      <c r="O114" s="25"/>
      <c r="P114" s="25"/>
      <c r="Q114" s="25"/>
      <c r="R114" s="110"/>
      <c r="S114" s="74" t="s">
        <v>1634</v>
      </c>
      <c r="T114" s="73">
        <f t="shared" ref="T114" ca="1" si="308">($M114=S114)*$D$13</f>
        <v>0</v>
      </c>
      <c r="U114" s="64"/>
      <c r="V114" s="74" t="s">
        <v>1634</v>
      </c>
      <c r="W114" s="73">
        <f t="shared" ref="W114:CH114" ca="1" si="309">($M114=V114)*$D$13</f>
        <v>0</v>
      </c>
      <c r="X114" s="64"/>
      <c r="Y114" s="74" t="s">
        <v>1634</v>
      </c>
      <c r="Z114" s="73">
        <f t="shared" ca="1" si="309"/>
        <v>0</v>
      </c>
      <c r="AA114" s="64"/>
      <c r="AB114" s="74" t="s">
        <v>135</v>
      </c>
      <c r="AC114" s="73">
        <f t="shared" ca="1" si="309"/>
        <v>0</v>
      </c>
      <c r="AD114" s="64"/>
      <c r="AE114" s="74" t="s">
        <v>1757</v>
      </c>
      <c r="AF114" s="73">
        <f t="shared" ca="1" si="309"/>
        <v>0</v>
      </c>
      <c r="AG114" s="64"/>
      <c r="AH114" s="74" t="s">
        <v>1634</v>
      </c>
      <c r="AI114" s="73">
        <f t="shared" ca="1" si="309"/>
        <v>0</v>
      </c>
      <c r="AJ114" s="64"/>
      <c r="AK114" s="74" t="s">
        <v>1634</v>
      </c>
      <c r="AL114" s="73">
        <f t="shared" ca="1" si="309"/>
        <v>0</v>
      </c>
      <c r="AM114" s="64"/>
      <c r="AN114" s="74" t="s">
        <v>135</v>
      </c>
      <c r="AO114" s="73">
        <f t="shared" ca="1" si="309"/>
        <v>0</v>
      </c>
      <c r="AP114" s="64"/>
      <c r="AQ114" s="74" t="s">
        <v>1634</v>
      </c>
      <c r="AR114" s="73">
        <f t="shared" ca="1" si="309"/>
        <v>0</v>
      </c>
      <c r="AS114" s="64"/>
      <c r="AT114" s="74" t="s">
        <v>135</v>
      </c>
      <c r="AU114" s="73">
        <f t="shared" ca="1" si="309"/>
        <v>0</v>
      </c>
      <c r="AV114" s="64"/>
      <c r="AW114" s="74" t="s">
        <v>1634</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135</v>
      </c>
      <c r="BJ114" s="73">
        <f t="shared" ca="1" si="309"/>
        <v>0</v>
      </c>
      <c r="BK114" s="64"/>
      <c r="BL114" s="74" t="s">
        <v>1757</v>
      </c>
      <c r="BM114" s="73">
        <f t="shared" ca="1" si="309"/>
        <v>0</v>
      </c>
      <c r="BN114" s="64"/>
      <c r="BO114" s="74" t="s">
        <v>1634</v>
      </c>
      <c r="BP114" s="73">
        <f t="shared" ca="1" si="309"/>
        <v>0</v>
      </c>
      <c r="BQ114" s="64"/>
      <c r="BR114" s="74" t="s">
        <v>135</v>
      </c>
      <c r="BS114" s="73">
        <f t="shared" ca="1" si="309"/>
        <v>0</v>
      </c>
      <c r="BT114" s="64"/>
      <c r="BU114" s="74" t="s">
        <v>135</v>
      </c>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5</v>
      </c>
      <c r="G115" s="445">
        <f ca="1">VLOOKUP(H115,Equipos!$Q$1:$R$25,2,0)</f>
        <v>16</v>
      </c>
      <c r="H115" s="446">
        <f ca="1">$H$70</f>
        <v>46199</v>
      </c>
      <c r="I115" s="50"/>
      <c r="J115" s="793"/>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135</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1757</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135</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5</v>
      </c>
      <c r="G116" s="445">
        <f ca="1">VLOOKUP(H116,Equipos!$Q$1:$R$25,2,0)</f>
        <v>18</v>
      </c>
      <c r="H116" s="446">
        <f ca="1">$H$72</f>
        <v>46201</v>
      </c>
      <c r="I116" s="50"/>
      <c r="J116" s="792"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1256</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80</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5</v>
      </c>
      <c r="G117" s="445">
        <f ca="1">VLOOKUP(H117,Equipos!$Q$1:$R$25,2,0)</f>
        <v>18</v>
      </c>
      <c r="H117" s="446">
        <f ca="1">$H$72</f>
        <v>46201</v>
      </c>
      <c r="I117" s="50"/>
      <c r="J117" s="792"/>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1558</v>
      </c>
      <c r="AF117" s="73">
        <f t="shared" ca="1" si="321"/>
        <v>0</v>
      </c>
      <c r="AG117" s="64"/>
      <c r="AH117" s="74" t="s">
        <v>1558</v>
      </c>
      <c r="AI117" s="73">
        <f t="shared" ca="1" si="321"/>
        <v>0</v>
      </c>
      <c r="AJ117" s="64"/>
      <c r="AK117" s="74" t="s">
        <v>80</v>
      </c>
      <c r="AL117" s="73">
        <f t="shared" ca="1" si="321"/>
        <v>0</v>
      </c>
      <c r="AM117" s="64"/>
      <c r="AN117" s="74" t="s">
        <v>1558</v>
      </c>
      <c r="AO117" s="73">
        <f t="shared" ca="1" si="321"/>
        <v>0</v>
      </c>
      <c r="AP117" s="64"/>
      <c r="AQ117" s="74" t="s">
        <v>1558</v>
      </c>
      <c r="AR117" s="73">
        <f t="shared" ca="1" si="321"/>
        <v>0</v>
      </c>
      <c r="AS117" s="64"/>
      <c r="AT117" s="74" t="s">
        <v>1558</v>
      </c>
      <c r="AU117" s="73">
        <f t="shared" ca="1" si="321"/>
        <v>0</v>
      </c>
      <c r="AV117" s="64"/>
      <c r="AW117" s="74" t="s">
        <v>80</v>
      </c>
      <c r="AX117" s="73">
        <f t="shared" ca="1" si="321"/>
        <v>0</v>
      </c>
      <c r="AY117" s="64"/>
      <c r="AZ117" s="74" t="s">
        <v>1256</v>
      </c>
      <c r="BA117" s="73">
        <f t="shared" ca="1" si="321"/>
        <v>0</v>
      </c>
      <c r="BB117" s="64"/>
      <c r="BC117" s="74" t="s">
        <v>80</v>
      </c>
      <c r="BD117" s="73">
        <f t="shared" ca="1" si="321"/>
        <v>0</v>
      </c>
      <c r="BE117" s="64"/>
      <c r="BF117" s="74" t="s">
        <v>80</v>
      </c>
      <c r="BG117" s="73">
        <f t="shared" ca="1" si="321"/>
        <v>0</v>
      </c>
      <c r="BH117" s="64"/>
      <c r="BI117" s="74" t="s">
        <v>1558</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5</v>
      </c>
      <c r="G118" s="445">
        <f ca="1">VLOOKUP(H118,Equipos!$Q$1:$R$25,2,0)</f>
        <v>18</v>
      </c>
      <c r="H118" s="446">
        <f ca="1">$H$72</f>
        <v>46201</v>
      </c>
      <c r="I118" s="50"/>
      <c r="J118" s="792"/>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80</v>
      </c>
      <c r="AF118" s="73">
        <f t="shared" ca="1" si="325"/>
        <v>0</v>
      </c>
      <c r="AG118" s="64"/>
      <c r="AH118" s="74" t="s">
        <v>80</v>
      </c>
      <c r="AI118" s="73">
        <f t="shared" ca="1" si="325"/>
        <v>0</v>
      </c>
      <c r="AJ118" s="64"/>
      <c r="AK118" s="74" t="s">
        <v>1558</v>
      </c>
      <c r="AL118" s="73">
        <f t="shared" ca="1" si="325"/>
        <v>0</v>
      </c>
      <c r="AM118" s="64"/>
      <c r="AN118" s="74" t="s">
        <v>80</v>
      </c>
      <c r="AO118" s="73">
        <f t="shared" ca="1" si="325"/>
        <v>0</v>
      </c>
      <c r="AP118" s="64"/>
      <c r="AQ118" s="74" t="s">
        <v>80</v>
      </c>
      <c r="AR118" s="73">
        <f t="shared" ca="1" si="325"/>
        <v>0</v>
      </c>
      <c r="AS118" s="64"/>
      <c r="AT118" s="74" t="s">
        <v>80</v>
      </c>
      <c r="AU118" s="73">
        <f t="shared" ca="1" si="325"/>
        <v>0</v>
      </c>
      <c r="AV118" s="64"/>
      <c r="AW118" s="74" t="s">
        <v>1558</v>
      </c>
      <c r="AX118" s="73">
        <f t="shared" ca="1" si="325"/>
        <v>0</v>
      </c>
      <c r="AY118" s="64"/>
      <c r="AZ118" s="74" t="s">
        <v>1558</v>
      </c>
      <c r="BA118" s="73">
        <f t="shared" ca="1" si="325"/>
        <v>0</v>
      </c>
      <c r="BB118" s="64"/>
      <c r="BC118" s="74" t="s">
        <v>1558</v>
      </c>
      <c r="BD118" s="73">
        <f t="shared" ca="1" si="325"/>
        <v>0</v>
      </c>
      <c r="BE118" s="64"/>
      <c r="BF118" s="74" t="s">
        <v>1558</v>
      </c>
      <c r="BG118" s="73">
        <f t="shared" ca="1" si="325"/>
        <v>0</v>
      </c>
      <c r="BH118" s="64"/>
      <c r="BI118" s="74" t="s">
        <v>80</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5</v>
      </c>
      <c r="G119" s="445">
        <f ca="1">VLOOKUP(H119,Equipos!$Q$1:$R$25,2,0)</f>
        <v>18</v>
      </c>
      <c r="H119" s="446">
        <f ca="1">$H$72</f>
        <v>46201</v>
      </c>
      <c r="I119" s="50"/>
      <c r="J119" s="792"/>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1264</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5</v>
      </c>
      <c r="G120" s="445">
        <f ca="1">VLOOKUP(H120,Equipos!$Q$1:$R$25,2,0)</f>
        <v>18</v>
      </c>
      <c r="H120" s="446">
        <f ca="1">$H$74</f>
        <v>46201</v>
      </c>
      <c r="I120" s="50"/>
      <c r="J120" s="793"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5</v>
      </c>
      <c r="G121" s="445">
        <f ca="1">VLOOKUP(H121,Equipos!$Q$1:$R$25,2,0)</f>
        <v>18</v>
      </c>
      <c r="H121" s="446">
        <f ca="1">$H$74</f>
        <v>46201</v>
      </c>
      <c r="I121" s="50"/>
      <c r="J121" s="793"/>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t="s">
        <v>1320</v>
      </c>
      <c r="AC121" s="73">
        <f t="shared" ca="1" si="337"/>
        <v>0</v>
      </c>
      <c r="AD121" s="64"/>
      <c r="AE121" s="74" t="s">
        <v>1839</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1839</v>
      </c>
      <c r="BD121" s="73">
        <f t="shared" ca="1" si="337"/>
        <v>0</v>
      </c>
      <c r="BE121" s="64"/>
      <c r="BF121" s="74" t="s">
        <v>1320</v>
      </c>
      <c r="BG121" s="73">
        <f t="shared" ca="1" si="337"/>
        <v>0</v>
      </c>
      <c r="BH121" s="64"/>
      <c r="BI121" s="74" t="s">
        <v>1839</v>
      </c>
      <c r="BJ121" s="73">
        <f t="shared" ca="1" si="337"/>
        <v>0</v>
      </c>
      <c r="BK121" s="64"/>
      <c r="BL121" s="74" t="s">
        <v>1839</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5</v>
      </c>
      <c r="G122" s="445">
        <f ca="1">VLOOKUP(H122,Equipos!$Q$1:$R$25,2,0)</f>
        <v>18</v>
      </c>
      <c r="H122" s="446">
        <f ca="1">$H$74</f>
        <v>46201</v>
      </c>
      <c r="I122" s="50"/>
      <c r="J122" s="793"/>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1839</v>
      </c>
      <c r="W122" s="73">
        <f t="shared" ref="W122:CH122" ca="1" si="341">($M122=V122)*$D$13</f>
        <v>0</v>
      </c>
      <c r="X122" s="64"/>
      <c r="Y122" s="74" t="s">
        <v>1839</v>
      </c>
      <c r="Z122" s="73">
        <f t="shared" ca="1" si="341"/>
        <v>0</v>
      </c>
      <c r="AA122" s="64"/>
      <c r="AB122" s="74" t="s">
        <v>1839</v>
      </c>
      <c r="AC122" s="73">
        <f t="shared" ca="1" si="341"/>
        <v>0</v>
      </c>
      <c r="AD122" s="64"/>
      <c r="AE122" s="74" t="s">
        <v>1267</v>
      </c>
      <c r="AF122" s="73">
        <f t="shared" ca="1" si="341"/>
        <v>0</v>
      </c>
      <c r="AG122" s="64"/>
      <c r="AH122" s="74" t="s">
        <v>1839</v>
      </c>
      <c r="AI122" s="73">
        <f t="shared" ca="1" si="341"/>
        <v>0</v>
      </c>
      <c r="AJ122" s="64"/>
      <c r="AK122" s="74" t="s">
        <v>1267</v>
      </c>
      <c r="AL122" s="73">
        <f t="shared" ca="1" si="341"/>
        <v>0</v>
      </c>
      <c r="AM122" s="64"/>
      <c r="AN122" s="74" t="s">
        <v>1267</v>
      </c>
      <c r="AO122" s="73">
        <f t="shared" ca="1" si="341"/>
        <v>0</v>
      </c>
      <c r="AP122" s="64"/>
      <c r="AQ122" s="74" t="s">
        <v>1267</v>
      </c>
      <c r="AR122" s="73">
        <f t="shared" ca="1" si="341"/>
        <v>0</v>
      </c>
      <c r="AS122" s="64"/>
      <c r="AT122" s="74" t="s">
        <v>1839</v>
      </c>
      <c r="AU122" s="73">
        <f t="shared" ca="1" si="341"/>
        <v>0</v>
      </c>
      <c r="AV122" s="64"/>
      <c r="AW122" s="74" t="s">
        <v>1267</v>
      </c>
      <c r="AX122" s="73">
        <f t="shared" ca="1" si="341"/>
        <v>0</v>
      </c>
      <c r="AY122" s="64"/>
      <c r="AZ122" s="74" t="s">
        <v>1839</v>
      </c>
      <c r="BA122" s="73">
        <f t="shared" ca="1" si="341"/>
        <v>0</v>
      </c>
      <c r="BB122" s="64"/>
      <c r="BC122" s="74" t="s">
        <v>1320</v>
      </c>
      <c r="BD122" s="73">
        <f t="shared" ca="1" si="341"/>
        <v>0</v>
      </c>
      <c r="BE122" s="64"/>
      <c r="BF122" s="74" t="s">
        <v>1839</v>
      </c>
      <c r="BG122" s="73">
        <f t="shared" ca="1" si="341"/>
        <v>0</v>
      </c>
      <c r="BH122" s="64"/>
      <c r="BI122" s="74" t="s">
        <v>1320</v>
      </c>
      <c r="BJ122" s="73">
        <f t="shared" ca="1" si="341"/>
        <v>0</v>
      </c>
      <c r="BK122" s="64"/>
      <c r="BL122" s="74" t="s">
        <v>1267</v>
      </c>
      <c r="BM122" s="73">
        <f t="shared" ca="1" si="341"/>
        <v>0</v>
      </c>
      <c r="BN122" s="64"/>
      <c r="BO122" s="74" t="s">
        <v>1839</v>
      </c>
      <c r="BP122" s="73">
        <f t="shared" ca="1" si="341"/>
        <v>0</v>
      </c>
      <c r="BQ122" s="64"/>
      <c r="BR122" s="74" t="s">
        <v>1267</v>
      </c>
      <c r="BS122" s="73">
        <f t="shared" ca="1" si="341"/>
        <v>0</v>
      </c>
      <c r="BT122" s="64"/>
      <c r="BU122" s="74" t="s">
        <v>1839</v>
      </c>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5</v>
      </c>
      <c r="G123" s="445">
        <f ca="1">VLOOKUP(H123,Equipos!$Q$1:$R$25,2,0)</f>
        <v>18</v>
      </c>
      <c r="H123" s="446">
        <f ca="1">$H$74</f>
        <v>46201</v>
      </c>
      <c r="I123" s="50"/>
      <c r="J123" s="793"/>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1267</v>
      </c>
      <c r="W123" s="73">
        <f t="shared" ref="W123:CH123" ca="1" si="345">($M123=V123)*$D$14</f>
        <v>0</v>
      </c>
      <c r="X123" s="64"/>
      <c r="Y123" s="74" t="s">
        <v>1267</v>
      </c>
      <c r="Z123" s="73">
        <f t="shared" ca="1" si="345"/>
        <v>0</v>
      </c>
      <c r="AA123" s="64"/>
      <c r="AB123" s="74" t="s">
        <v>1267</v>
      </c>
      <c r="AC123" s="73">
        <f t="shared" ca="1" si="345"/>
        <v>0</v>
      </c>
      <c r="AD123" s="64"/>
      <c r="AE123" s="74" t="s">
        <v>1320</v>
      </c>
      <c r="AF123" s="73">
        <f t="shared" ca="1" si="345"/>
        <v>0</v>
      </c>
      <c r="AG123" s="64"/>
      <c r="AH123" s="74" t="s">
        <v>1267</v>
      </c>
      <c r="AI123" s="73">
        <f t="shared" ca="1" si="345"/>
        <v>0</v>
      </c>
      <c r="AJ123" s="64"/>
      <c r="AK123" s="74" t="s">
        <v>1839</v>
      </c>
      <c r="AL123" s="73">
        <f t="shared" ca="1" si="345"/>
        <v>0</v>
      </c>
      <c r="AM123" s="64"/>
      <c r="AN123" s="74" t="s">
        <v>1839</v>
      </c>
      <c r="AO123" s="73">
        <f t="shared" ca="1" si="345"/>
        <v>0</v>
      </c>
      <c r="AP123" s="64"/>
      <c r="AQ123" s="74" t="s">
        <v>1839</v>
      </c>
      <c r="AR123" s="73">
        <f t="shared" ca="1" si="345"/>
        <v>0</v>
      </c>
      <c r="AS123" s="64"/>
      <c r="AT123" s="74" t="s">
        <v>1267</v>
      </c>
      <c r="AU123" s="73">
        <f t="shared" ca="1" si="345"/>
        <v>0</v>
      </c>
      <c r="AV123" s="64"/>
      <c r="AW123" s="74" t="s">
        <v>1839</v>
      </c>
      <c r="AX123" s="73">
        <f t="shared" ca="1" si="345"/>
        <v>0</v>
      </c>
      <c r="AY123" s="64"/>
      <c r="AZ123" s="74" t="s">
        <v>1267</v>
      </c>
      <c r="BA123" s="73">
        <f t="shared" ca="1" si="345"/>
        <v>0</v>
      </c>
      <c r="BB123" s="64"/>
      <c r="BC123" s="74" t="s">
        <v>1267</v>
      </c>
      <c r="BD123" s="73">
        <f t="shared" ca="1" si="345"/>
        <v>0</v>
      </c>
      <c r="BE123" s="64"/>
      <c r="BF123" s="74" t="s">
        <v>1267</v>
      </c>
      <c r="BG123" s="73">
        <f t="shared" ca="1" si="345"/>
        <v>0</v>
      </c>
      <c r="BH123" s="64"/>
      <c r="BI123" s="74" t="s">
        <v>1267</v>
      </c>
      <c r="BJ123" s="73">
        <f t="shared" ca="1" si="345"/>
        <v>0</v>
      </c>
      <c r="BK123" s="64"/>
      <c r="BL123" s="74" t="s">
        <v>1320</v>
      </c>
      <c r="BM123" s="73">
        <f t="shared" ca="1" si="345"/>
        <v>0</v>
      </c>
      <c r="BN123" s="64"/>
      <c r="BO123" s="74" t="s">
        <v>1267</v>
      </c>
      <c r="BP123" s="73">
        <f t="shared" ca="1" si="345"/>
        <v>0</v>
      </c>
      <c r="BQ123" s="64"/>
      <c r="BR123" s="74" t="s">
        <v>1839</v>
      </c>
      <c r="BS123" s="73">
        <f t="shared" ca="1" si="345"/>
        <v>0</v>
      </c>
      <c r="BT123" s="64"/>
      <c r="BU123" s="74" t="s">
        <v>1267</v>
      </c>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5</v>
      </c>
      <c r="G124" s="445">
        <f ca="1">VLOOKUP(H124,Equipos!$Q$1:$R$25,2,0)</f>
        <v>18</v>
      </c>
      <c r="H124" s="446">
        <f ca="1">$H$76</f>
        <v>46201</v>
      </c>
      <c r="I124" s="50"/>
      <c r="J124" s="792"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1551</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76</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5</v>
      </c>
      <c r="G125" s="445">
        <f ca="1">VLOOKUP(H125,Equipos!$Q$1:$R$25,2,0)</f>
        <v>18</v>
      </c>
      <c r="H125" s="446">
        <f ca="1">$H$76</f>
        <v>46201</v>
      </c>
      <c r="I125" s="50"/>
      <c r="J125" s="792"/>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1551</v>
      </c>
      <c r="BJ125" s="73">
        <f t="shared" ca="1" si="353"/>
        <v>0</v>
      </c>
      <c r="BK125" s="64"/>
      <c r="BL125" s="74" t="s">
        <v>78</v>
      </c>
      <c r="BM125" s="73">
        <f t="shared" ca="1" si="353"/>
        <v>0</v>
      </c>
      <c r="BN125" s="64"/>
      <c r="BO125" s="74" t="s">
        <v>1551</v>
      </c>
      <c r="BP125" s="73">
        <f t="shared" ca="1" si="353"/>
        <v>0</v>
      </c>
      <c r="BQ125" s="64"/>
      <c r="BR125" s="74" t="s">
        <v>78</v>
      </c>
      <c r="BS125" s="73">
        <f t="shared" ca="1" si="353"/>
        <v>0</v>
      </c>
      <c r="BT125" s="64"/>
      <c r="BU125" s="74" t="s">
        <v>78</v>
      </c>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5</v>
      </c>
      <c r="G126" s="445">
        <f ca="1">VLOOKUP(H126,Equipos!$Q$1:$R$25,2,0)</f>
        <v>18</v>
      </c>
      <c r="H126" s="446">
        <f ca="1">$H$76</f>
        <v>46201</v>
      </c>
      <c r="I126" s="50"/>
      <c r="J126" s="792"/>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1730</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76</v>
      </c>
      <c r="AU126" s="73">
        <f t="shared" ca="1" si="357"/>
        <v>0</v>
      </c>
      <c r="AV126" s="64"/>
      <c r="AW126" s="74" t="s">
        <v>1551</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78</v>
      </c>
      <c r="BJ126" s="73">
        <f t="shared" ca="1" si="357"/>
        <v>0</v>
      </c>
      <c r="BK126" s="64"/>
      <c r="BL126" s="74" t="s">
        <v>1551</v>
      </c>
      <c r="BM126" s="73">
        <f t="shared" ca="1" si="357"/>
        <v>0</v>
      </c>
      <c r="BN126" s="64"/>
      <c r="BO126" s="74" t="s">
        <v>78</v>
      </c>
      <c r="BP126" s="73">
        <f t="shared" ca="1" si="357"/>
        <v>0</v>
      </c>
      <c r="BQ126" s="64"/>
      <c r="BR126" s="74" t="s">
        <v>1551</v>
      </c>
      <c r="BS126" s="73">
        <f t="shared" ca="1" si="357"/>
        <v>0</v>
      </c>
      <c r="BT126" s="64"/>
      <c r="BU126" s="74" t="s">
        <v>1551</v>
      </c>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5</v>
      </c>
      <c r="G127" s="445">
        <f ca="1">VLOOKUP(H127,Equipos!$Q$1:$R$25,2,0)</f>
        <v>18</v>
      </c>
      <c r="H127" s="446">
        <f ca="1">$H$76</f>
        <v>46201</v>
      </c>
      <c r="I127" s="50"/>
      <c r="J127" s="792"/>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1551</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1730</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240</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10</v>
      </c>
      <c r="G130" s="445">
        <f ca="1">VLOOKUP(H130,Equipos!$Q$1:$R$25,2,0)</f>
        <v>19</v>
      </c>
      <c r="H130" s="447" t="str">
        <f>Idiomas!$D$137</f>
        <v>CLASIFICADOS PARA DIECISEISAVOS</v>
      </c>
      <c r="I130" s="50"/>
      <c r="J130" s="794" t="s">
        <v>483</v>
      </c>
      <c r="K130" s="53" t="str">
        <f>Idiomas!$D$198&amp;"-"&amp;ROWS($L$130:L130)</f>
        <v>Dieciseisavofinalista-1</v>
      </c>
      <c r="L130" s="53"/>
      <c r="M130" s="55" t="str">
        <f ca="1">WORLDCUP!AA101</f>
        <v>2A</v>
      </c>
      <c r="N130" s="25"/>
      <c r="O130" s="25"/>
      <c r="P130" s="25"/>
      <c r="Q130" s="25"/>
      <c r="R130" s="110"/>
      <c r="S130" s="76" t="s">
        <v>1260</v>
      </c>
      <c r="T130" s="77">
        <f t="shared" ref="T130:T161" ca="1" si="387">COUNTIF($M$130:$M$161,S130)*$D$15</f>
        <v>0</v>
      </c>
      <c r="U130" s="64"/>
      <c r="V130" s="76" t="s">
        <v>1260</v>
      </c>
      <c r="W130" s="77">
        <f t="shared" ref="W130:W161" ca="1" si="388">COUNTIF($M$130:$M$161,V130)*$D$15</f>
        <v>0</v>
      </c>
      <c r="X130" s="64"/>
      <c r="Y130" s="76" t="s">
        <v>1843</v>
      </c>
      <c r="Z130" s="77">
        <f t="shared" ref="Z130:Z161" ca="1" si="389">COUNTIF($M$130:$M$161,Y130)*$D$15</f>
        <v>0</v>
      </c>
      <c r="AA130" s="64"/>
      <c r="AB130" s="76" t="s">
        <v>1265</v>
      </c>
      <c r="AC130" s="77">
        <f t="shared" ref="AC130:AC161" ca="1" si="390">COUNTIF($M$130:$M$161,AB130)*$D$15</f>
        <v>0</v>
      </c>
      <c r="AD130" s="64"/>
      <c r="AE130" s="76" t="s">
        <v>1630</v>
      </c>
      <c r="AF130" s="77">
        <f t="shared" ref="AF130:AF161" ca="1" si="391">COUNTIF($M$130:$M$161,AE130)*$D$15</f>
        <v>0</v>
      </c>
      <c r="AG130" s="64"/>
      <c r="AH130" s="76" t="s">
        <v>1260</v>
      </c>
      <c r="AI130" s="77">
        <f t="shared" ref="AI130:AI161" ca="1" si="392">COUNTIF($M$130:$M$161,AH130)*$D$15</f>
        <v>0</v>
      </c>
      <c r="AJ130" s="64"/>
      <c r="AK130" s="76" t="s">
        <v>1843</v>
      </c>
      <c r="AL130" s="77">
        <f t="shared" ref="AL130:AL161" ca="1" si="393">COUNTIF($M$130:$M$161,AK130)*$D$15</f>
        <v>0</v>
      </c>
      <c r="AM130" s="64"/>
      <c r="AN130" s="76" t="s">
        <v>1630</v>
      </c>
      <c r="AO130" s="77">
        <f t="shared" ref="AO130:AO161" ca="1" si="394">COUNTIF($M$130:$M$161,AN130)*$D$15</f>
        <v>0</v>
      </c>
      <c r="AP130" s="64"/>
      <c r="AQ130" s="76" t="s">
        <v>1843</v>
      </c>
      <c r="AR130" s="77">
        <f t="shared" ref="AR130:AR161" ca="1" si="395">COUNTIF($M$130:$M$161,AQ130)*$D$15</f>
        <v>0</v>
      </c>
      <c r="AS130" s="64"/>
      <c r="AT130" s="76" t="s">
        <v>1843</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1630</v>
      </c>
      <c r="BM130" s="77">
        <f t="shared" ref="BM130:BM161" ca="1" si="402">COUNTIF($M$130:$M$161,BL130)*$D$15</f>
        <v>0</v>
      </c>
      <c r="BN130" s="64"/>
      <c r="BO130" s="76" t="s">
        <v>1260</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10</v>
      </c>
      <c r="G131" s="445">
        <f ca="1">VLOOKUP(H131,Equipos!$Q$1:$R$25,2,0)</f>
        <v>19</v>
      </c>
      <c r="H131" s="447" t="str">
        <f>Idiomas!$D$137</f>
        <v>CLASIFICADOS PARA DIECISEISAVOS</v>
      </c>
      <c r="I131" s="50"/>
      <c r="J131" s="794"/>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1321</v>
      </c>
      <c r="AU131" s="73">
        <f t="shared" ca="1" si="396"/>
        <v>0</v>
      </c>
      <c r="AV131" s="64"/>
      <c r="AW131" s="74" t="s">
        <v>1258</v>
      </c>
      <c r="AX131" s="73">
        <f t="shared" ca="1" si="397"/>
        <v>0</v>
      </c>
      <c r="AY131" s="64"/>
      <c r="AZ131" s="74" t="s">
        <v>1321</v>
      </c>
      <c r="BA131" s="73">
        <f t="shared" ca="1" si="398"/>
        <v>0</v>
      </c>
      <c r="BB131" s="64"/>
      <c r="BC131" s="74" t="s">
        <v>1258</v>
      </c>
      <c r="BD131" s="73">
        <f t="shared" ca="1" si="399"/>
        <v>0</v>
      </c>
      <c r="BE131" s="64"/>
      <c r="BF131" s="74" t="s">
        <v>1258</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10</v>
      </c>
      <c r="G132" s="445">
        <f ca="1">VLOOKUP(H132,Equipos!$Q$1:$R$25,2,0)</f>
        <v>19</v>
      </c>
      <c r="H132" s="447" t="str">
        <f>Idiomas!$D$137</f>
        <v>CLASIFICADOS PARA DIECISEISAVOS</v>
      </c>
      <c r="I132" s="50"/>
      <c r="J132" s="794"/>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1633</v>
      </c>
      <c r="Z132" s="73">
        <f t="shared" ca="1" si="389"/>
        <v>0</v>
      </c>
      <c r="AA132" s="64"/>
      <c r="AB132" s="74" t="s">
        <v>77</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77</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10</v>
      </c>
      <c r="G133" s="445">
        <f ca="1">VLOOKUP(H133,Equipos!$Q$1:$R$25,2,0)</f>
        <v>19</v>
      </c>
      <c r="H133" s="447" t="str">
        <f>Idiomas!$D$137</f>
        <v>CLASIFICADOS PARA DIECISEISAVOS</v>
      </c>
      <c r="I133" s="50"/>
      <c r="J133" s="794"/>
      <c r="K133" s="56" t="str">
        <f>Idiomas!$D$198&amp;"-"&amp;ROWS($L$130:L133)</f>
        <v>Dieciseisavofinalista-4</v>
      </c>
      <c r="L133" s="53"/>
      <c r="M133" s="55" t="str">
        <f ca="1">WORLDCUP!AA104</f>
        <v>1F</v>
      </c>
      <c r="N133" s="25"/>
      <c r="O133" s="25"/>
      <c r="P133" s="25"/>
      <c r="Q133" s="25"/>
      <c r="R133" s="110"/>
      <c r="S133" s="74" t="s">
        <v>1263</v>
      </c>
      <c r="T133" s="73">
        <f t="shared" ca="1" si="387"/>
        <v>0</v>
      </c>
      <c r="U133" s="64"/>
      <c r="V133" s="74" t="s">
        <v>111</v>
      </c>
      <c r="W133" s="73">
        <f t="shared" ca="1" si="388"/>
        <v>0</v>
      </c>
      <c r="X133" s="64"/>
      <c r="Y133" s="74" t="s">
        <v>111</v>
      </c>
      <c r="Z133" s="73">
        <f t="shared" ca="1" si="389"/>
        <v>0</v>
      </c>
      <c r="AA133" s="64"/>
      <c r="AB133" s="74" t="s">
        <v>111</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1833</v>
      </c>
      <c r="AU133" s="73">
        <f t="shared" ca="1" si="396"/>
        <v>0</v>
      </c>
      <c r="AV133" s="64"/>
      <c r="AW133" s="74" t="s">
        <v>111</v>
      </c>
      <c r="AX133" s="73">
        <f t="shared" ca="1" si="397"/>
        <v>0</v>
      </c>
      <c r="AY133" s="64"/>
      <c r="AZ133" s="74" t="s">
        <v>111</v>
      </c>
      <c r="BA133" s="73">
        <f t="shared" ca="1" si="398"/>
        <v>0</v>
      </c>
      <c r="BB133" s="64"/>
      <c r="BC133" s="74" t="s">
        <v>1263</v>
      </c>
      <c r="BD133" s="73">
        <f t="shared" ca="1" si="399"/>
        <v>0</v>
      </c>
      <c r="BE133" s="64"/>
      <c r="BF133" s="74" t="s">
        <v>111</v>
      </c>
      <c r="BG133" s="73">
        <f t="shared" ca="1" si="400"/>
        <v>0</v>
      </c>
      <c r="BH133" s="64"/>
      <c r="BI133" s="74" t="s">
        <v>1263</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10</v>
      </c>
      <c r="G134" s="445">
        <f ca="1">VLOOKUP(H134,Equipos!$Q$1:$R$25,2,0)</f>
        <v>19</v>
      </c>
      <c r="H134" s="447" t="str">
        <f>Idiomas!$D$137</f>
        <v>CLASIFICADOS PARA DIECISEISAVOS</v>
      </c>
      <c r="I134" s="50"/>
      <c r="J134" s="794"/>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77</v>
      </c>
      <c r="W134" s="73">
        <f t="shared" ca="1" si="388"/>
        <v>0</v>
      </c>
      <c r="X134" s="64"/>
      <c r="Y134" s="74" t="s">
        <v>1261</v>
      </c>
      <c r="Z134" s="73">
        <f t="shared" ca="1" si="389"/>
        <v>0</v>
      </c>
      <c r="AA134" s="64"/>
      <c r="AB134" s="74" t="s">
        <v>1261</v>
      </c>
      <c r="AC134" s="73">
        <f t="shared" ca="1" si="390"/>
        <v>0</v>
      </c>
      <c r="AD134" s="64"/>
      <c r="AE134" s="74" t="s">
        <v>1726</v>
      </c>
      <c r="AF134" s="73">
        <f t="shared" ca="1" si="391"/>
        <v>0</v>
      </c>
      <c r="AG134" s="64"/>
      <c r="AH134" s="74" t="s">
        <v>1633</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1633</v>
      </c>
      <c r="AU134" s="73">
        <f t="shared" ca="1" si="396"/>
        <v>0</v>
      </c>
      <c r="AV134" s="64"/>
      <c r="AW134" s="74" t="s">
        <v>1261</v>
      </c>
      <c r="AX134" s="73">
        <f t="shared" ca="1" si="397"/>
        <v>0</v>
      </c>
      <c r="AY134" s="64"/>
      <c r="AZ134" s="74" t="s">
        <v>1633</v>
      </c>
      <c r="BA134" s="73">
        <f t="shared" ca="1" si="398"/>
        <v>0</v>
      </c>
      <c r="BB134" s="64"/>
      <c r="BC134" s="74" t="s">
        <v>1261</v>
      </c>
      <c r="BD134" s="73">
        <f t="shared" ca="1" si="399"/>
        <v>0</v>
      </c>
      <c r="BE134" s="64"/>
      <c r="BF134" s="74" t="s">
        <v>1261</v>
      </c>
      <c r="BG134" s="73">
        <f t="shared" ca="1" si="400"/>
        <v>0</v>
      </c>
      <c r="BH134" s="64"/>
      <c r="BI134" s="74" t="s">
        <v>1261</v>
      </c>
      <c r="BJ134" s="73">
        <f t="shared" ca="1" si="401"/>
        <v>0</v>
      </c>
      <c r="BK134" s="64"/>
      <c r="BL134" s="74" t="s">
        <v>1726</v>
      </c>
      <c r="BM134" s="73">
        <f t="shared" ca="1" si="402"/>
        <v>0</v>
      </c>
      <c r="BN134" s="64"/>
      <c r="BO134" s="74" t="s">
        <v>1633</v>
      </c>
      <c r="BP134" s="73">
        <f t="shared" ca="1" si="403"/>
        <v>0</v>
      </c>
      <c r="BQ134" s="64"/>
      <c r="BR134" s="74" t="s">
        <v>1261</v>
      </c>
      <c r="BS134" s="73">
        <f t="shared" ca="1" si="404"/>
        <v>0</v>
      </c>
      <c r="BT134" s="64"/>
      <c r="BU134" s="74" t="s">
        <v>1261</v>
      </c>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10</v>
      </c>
      <c r="G135" s="445">
        <f ca="1">VLOOKUP(H135,Equipos!$Q$1:$R$25,2,0)</f>
        <v>19</v>
      </c>
      <c r="H135" s="447" t="str">
        <f>Idiomas!$D$137</f>
        <v>CLASIFICADOS PARA DIECISEISAVOS</v>
      </c>
      <c r="I135" s="50"/>
      <c r="J135" s="794"/>
      <c r="K135" s="56" t="str">
        <f>Idiomas!$D$198&amp;"-"&amp;ROWS($L$130:L135)</f>
        <v>Dieciseisavofinalista-6</v>
      </c>
      <c r="L135" s="53"/>
      <c r="M135" s="55" t="str">
        <f ca="1">WORLDCUP!AA106</f>
        <v>1I</v>
      </c>
      <c r="N135" s="25"/>
      <c r="O135" s="25"/>
      <c r="P135" s="25"/>
      <c r="Q135" s="25"/>
      <c r="R135" s="110"/>
      <c r="S135" s="74" t="s">
        <v>135</v>
      </c>
      <c r="T135" s="73">
        <f t="shared" ca="1" si="387"/>
        <v>0</v>
      </c>
      <c r="U135" s="64"/>
      <c r="V135" s="74" t="s">
        <v>74</v>
      </c>
      <c r="W135" s="73">
        <f t="shared" ca="1" si="388"/>
        <v>0</v>
      </c>
      <c r="X135" s="64"/>
      <c r="Y135" s="74" t="s">
        <v>74</v>
      </c>
      <c r="Z135" s="73">
        <f t="shared" ca="1" si="389"/>
        <v>0</v>
      </c>
      <c r="AA135" s="64"/>
      <c r="AB135" s="74" t="s">
        <v>74</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74</v>
      </c>
      <c r="AX135" s="73">
        <f t="shared" ca="1" si="397"/>
        <v>0</v>
      </c>
      <c r="AY135" s="64"/>
      <c r="AZ135" s="74" t="s">
        <v>74</v>
      </c>
      <c r="BA135" s="73">
        <f t="shared" ca="1" si="398"/>
        <v>0</v>
      </c>
      <c r="BB135" s="64"/>
      <c r="BC135" s="74" t="s">
        <v>135</v>
      </c>
      <c r="BD135" s="73">
        <f t="shared" ca="1" si="399"/>
        <v>0</v>
      </c>
      <c r="BE135" s="64"/>
      <c r="BF135" s="74" t="s">
        <v>74</v>
      </c>
      <c r="BG135" s="73">
        <f t="shared" ca="1" si="400"/>
        <v>0</v>
      </c>
      <c r="BH135" s="64"/>
      <c r="BI135" s="74" t="s">
        <v>1634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10</v>
      </c>
      <c r="G136" s="445">
        <f ca="1">VLOOKUP(H136,Equipos!$Q$1:$R$25,2,0)</f>
        <v>19</v>
      </c>
      <c r="H136" s="447" t="str">
        <f>Idiomas!$D$137</f>
        <v>CLASIFICADOS PARA DIECISEISAVOS</v>
      </c>
      <c r="I136" s="50"/>
      <c r="J136" s="794"/>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1265</v>
      </c>
      <c r="AF136" s="73">
        <f t="shared" ca="1" si="391"/>
        <v>0</v>
      </c>
      <c r="AG136" s="64"/>
      <c r="AH136" s="74" t="s">
        <v>1265</v>
      </c>
      <c r="AI136" s="73">
        <f t="shared" ca="1" si="392"/>
        <v>0</v>
      </c>
      <c r="AJ136" s="64"/>
      <c r="AK136" s="74" t="s">
        <v>1265</v>
      </c>
      <c r="AL136" s="73">
        <f t="shared" ca="1" si="393"/>
        <v>0</v>
      </c>
      <c r="AM136" s="64"/>
      <c r="AN136" s="74" t="s">
        <v>1265</v>
      </c>
      <c r="AO136" s="73">
        <f t="shared" ca="1" si="394"/>
        <v>0</v>
      </c>
      <c r="AP136" s="64"/>
      <c r="AQ136" s="74" t="s">
        <v>1265</v>
      </c>
      <c r="AR136" s="73">
        <f t="shared" ca="1" si="395"/>
        <v>0</v>
      </c>
      <c r="AS136" s="64"/>
      <c r="AT136" s="74" t="s">
        <v>1265</v>
      </c>
      <c r="AU136" s="73">
        <f t="shared" ca="1" si="396"/>
        <v>0</v>
      </c>
      <c r="AV136" s="64"/>
      <c r="AW136" s="74" t="s">
        <v>1260</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1265</v>
      </c>
      <c r="BP136" s="73">
        <f t="shared" ca="1" si="403"/>
        <v>0</v>
      </c>
      <c r="BQ136" s="64"/>
      <c r="BR136" s="74" t="s">
        <v>1265</v>
      </c>
      <c r="BS136" s="73">
        <f t="shared" ca="1" si="404"/>
        <v>0</v>
      </c>
      <c r="BT136" s="64"/>
      <c r="BU136" s="74" t="s">
        <v>1265</v>
      </c>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10</v>
      </c>
      <c r="G137" s="445">
        <f ca="1">VLOOKUP(H137,Equipos!$Q$1:$R$25,2,0)</f>
        <v>19</v>
      </c>
      <c r="H137" s="447" t="str">
        <f>Idiomas!$D$137</f>
        <v>CLASIFICADOS PARA DIECISEISAVOS</v>
      </c>
      <c r="I137" s="50"/>
      <c r="J137" s="794"/>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1551</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76</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10</v>
      </c>
      <c r="G138" s="445">
        <f ca="1">VLOOKUP(H138,Equipos!$Q$1:$R$25,2,0)</f>
        <v>19</v>
      </c>
      <c r="H138" s="447" t="str">
        <f>Idiomas!$D$137</f>
        <v>CLASIFICADOS PARA DIECISEISAVOS</v>
      </c>
      <c r="I138" s="50"/>
      <c r="J138" s="794"/>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10</v>
      </c>
      <c r="G139" s="445">
        <f ca="1">VLOOKUP(H139,Equipos!$Q$1:$R$25,2,0)</f>
        <v>19</v>
      </c>
      <c r="H139" s="447" t="str">
        <f>Idiomas!$D$137</f>
        <v>CLASIFICADOS PARA DIECISEISAVOS</v>
      </c>
      <c r="I139" s="50"/>
      <c r="J139" s="794"/>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497</v>
      </c>
      <c r="W139" s="73">
        <f t="shared" ca="1" si="388"/>
        <v>0</v>
      </c>
      <c r="X139" s="64"/>
      <c r="Y139" s="74" t="s">
        <v>1835</v>
      </c>
      <c r="Z139" s="73">
        <f t="shared" ca="1" si="389"/>
        <v>0</v>
      </c>
      <c r="AA139" s="64"/>
      <c r="AB139" s="74" t="s">
        <v>497</v>
      </c>
      <c r="AC139" s="73">
        <f t="shared" ca="1" si="390"/>
        <v>0</v>
      </c>
      <c r="AD139" s="64"/>
      <c r="AE139" s="74" t="s">
        <v>497</v>
      </c>
      <c r="AF139" s="73">
        <f t="shared" ca="1" si="391"/>
        <v>0</v>
      </c>
      <c r="AG139" s="64"/>
      <c r="AH139" s="74" t="s">
        <v>497</v>
      </c>
      <c r="AI139" s="73">
        <f t="shared" ca="1" si="392"/>
        <v>0</v>
      </c>
      <c r="AJ139" s="64"/>
      <c r="AK139" s="74" t="s">
        <v>1835</v>
      </c>
      <c r="AL139" s="73">
        <f t="shared" ca="1" si="393"/>
        <v>0</v>
      </c>
      <c r="AM139" s="64"/>
      <c r="AN139" s="74" t="s">
        <v>1257</v>
      </c>
      <c r="AO139" s="73">
        <f t="shared" ca="1" si="394"/>
        <v>0</v>
      </c>
      <c r="AP139" s="64"/>
      <c r="AQ139" s="74" t="s">
        <v>1835</v>
      </c>
      <c r="AR139" s="73">
        <f t="shared" ca="1" si="395"/>
        <v>0</v>
      </c>
      <c r="AS139" s="64"/>
      <c r="AT139" s="74" t="s">
        <v>1835</v>
      </c>
      <c r="AU139" s="73">
        <f t="shared" ca="1" si="396"/>
        <v>0</v>
      </c>
      <c r="AV139" s="64"/>
      <c r="AW139" s="74" t="s">
        <v>1835</v>
      </c>
      <c r="AX139" s="73">
        <f t="shared" ca="1" si="397"/>
        <v>0</v>
      </c>
      <c r="AY139" s="64"/>
      <c r="AZ139" s="74" t="s">
        <v>1835</v>
      </c>
      <c r="BA139" s="73">
        <f t="shared" ca="1" si="398"/>
        <v>0</v>
      </c>
      <c r="BB139" s="64"/>
      <c r="BC139" s="74" t="s">
        <v>1835</v>
      </c>
      <c r="BD139" s="73">
        <f t="shared" ca="1" si="399"/>
        <v>0</v>
      </c>
      <c r="BE139" s="64"/>
      <c r="BF139" s="74" t="s">
        <v>497</v>
      </c>
      <c r="BG139" s="73">
        <f t="shared" ca="1" si="400"/>
        <v>0</v>
      </c>
      <c r="BH139" s="64"/>
      <c r="BI139" s="74" t="s">
        <v>1835</v>
      </c>
      <c r="BJ139" s="73">
        <f t="shared" ca="1" si="401"/>
        <v>0</v>
      </c>
      <c r="BK139" s="64"/>
      <c r="BL139" s="74" t="s">
        <v>497</v>
      </c>
      <c r="BM139" s="73">
        <f t="shared" ca="1" si="402"/>
        <v>0</v>
      </c>
      <c r="BN139" s="64"/>
      <c r="BO139" s="74" t="s">
        <v>497</v>
      </c>
      <c r="BP139" s="73">
        <f t="shared" ca="1" si="403"/>
        <v>0</v>
      </c>
      <c r="BQ139" s="64"/>
      <c r="BR139" s="74" t="s">
        <v>497</v>
      </c>
      <c r="BS139" s="73">
        <f t="shared" ca="1" si="404"/>
        <v>0</v>
      </c>
      <c r="BT139" s="64"/>
      <c r="BU139" s="74" t="s">
        <v>497</v>
      </c>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10</v>
      </c>
      <c r="G140" s="445">
        <f ca="1">VLOOKUP(H140,Equipos!$Q$1:$R$25,2,0)</f>
        <v>19</v>
      </c>
      <c r="H140" s="447" t="str">
        <f>Idiomas!$D$137</f>
        <v>CLASIFICADOS PARA DIECISEISAVOS</v>
      </c>
      <c r="I140" s="50"/>
      <c r="J140" s="794"/>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38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10</v>
      </c>
      <c r="G141" s="445">
        <f ca="1">VLOOKUP(H141,Equipos!$Q$1:$R$25,2,0)</f>
        <v>19</v>
      </c>
      <c r="H141" s="447" t="str">
        <f>Idiomas!$D$137</f>
        <v>CLASIFICADOS PARA DIECISEISAVOS</v>
      </c>
      <c r="I141" s="50"/>
      <c r="J141" s="794"/>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t="s">
        <v>1320</v>
      </c>
      <c r="AC141" s="73">
        <f t="shared" ca="1" si="390"/>
        <v>0</v>
      </c>
      <c r="AD141" s="64"/>
      <c r="AE141" s="74" t="s">
        <v>1839</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1839</v>
      </c>
      <c r="BD141" s="73">
        <f t="shared" ca="1" si="399"/>
        <v>0</v>
      </c>
      <c r="BE141" s="64"/>
      <c r="BF141" s="74" t="s">
        <v>1320</v>
      </c>
      <c r="BG141" s="73">
        <f t="shared" ca="1" si="400"/>
        <v>0</v>
      </c>
      <c r="BH141" s="64"/>
      <c r="BI141" s="74" t="s">
        <v>1839</v>
      </c>
      <c r="BJ141" s="73">
        <f t="shared" ca="1" si="401"/>
        <v>0</v>
      </c>
      <c r="BK141" s="64"/>
      <c r="BL141" s="74" t="s">
        <v>1839</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10</v>
      </c>
      <c r="G142" s="445">
        <f ca="1">VLOOKUP(H142,Equipos!$Q$1:$R$25,2,0)</f>
        <v>19</v>
      </c>
      <c r="H142" s="447" t="str">
        <f>Idiomas!$D$137</f>
        <v>CLASIFICADOS PARA DIECISEISAVOS</v>
      </c>
      <c r="I142" s="50"/>
      <c r="J142" s="794"/>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75</v>
      </c>
      <c r="AI142" s="73">
        <f t="shared" ca="1" si="392"/>
        <v>0</v>
      </c>
      <c r="AJ142" s="64"/>
      <c r="AK142" s="74" t="s">
        <v>75</v>
      </c>
      <c r="AL142" s="73">
        <f t="shared" ca="1" si="393"/>
        <v>0</v>
      </c>
      <c r="AM142" s="64"/>
      <c r="AN142" s="74" t="s">
        <v>1259</v>
      </c>
      <c r="AO142" s="73">
        <f t="shared" ca="1" si="394"/>
        <v>0</v>
      </c>
      <c r="AP142" s="64"/>
      <c r="AQ142" s="74" t="s">
        <v>75</v>
      </c>
      <c r="AR142" s="73">
        <f t="shared" ca="1" si="395"/>
        <v>0</v>
      </c>
      <c r="AS142" s="64"/>
      <c r="AT142" s="74" t="s">
        <v>1259</v>
      </c>
      <c r="AU142" s="73">
        <f t="shared" ca="1" si="396"/>
        <v>0</v>
      </c>
      <c r="AV142" s="64"/>
      <c r="AW142" s="74" t="s">
        <v>75</v>
      </c>
      <c r="AX142" s="73">
        <f t="shared" ca="1" si="397"/>
        <v>0</v>
      </c>
      <c r="AY142" s="64"/>
      <c r="AZ142" s="74" t="s">
        <v>1259</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1259</v>
      </c>
      <c r="BM142" s="73">
        <f t="shared" ca="1" si="402"/>
        <v>0</v>
      </c>
      <c r="BN142" s="64"/>
      <c r="BO142" s="74" t="s">
        <v>75</v>
      </c>
      <c r="BP142" s="73">
        <f t="shared" ca="1" si="403"/>
        <v>0</v>
      </c>
      <c r="BQ142" s="64"/>
      <c r="BR142" s="74" t="s">
        <v>1259</v>
      </c>
      <c r="BS142" s="73">
        <f t="shared" ca="1" si="404"/>
        <v>0</v>
      </c>
      <c r="BT142" s="64"/>
      <c r="BU142" s="74" t="s">
        <v>1259</v>
      </c>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10</v>
      </c>
      <c r="G143" s="445">
        <f ca="1">VLOOKUP(H143,Equipos!$Q$1:$R$25,2,0)</f>
        <v>19</v>
      </c>
      <c r="H143" s="447" t="str">
        <f>Idiomas!$D$137</f>
        <v>CLASIFICADOS PARA DIECISEISAVOS</v>
      </c>
      <c r="I143" s="50"/>
      <c r="J143" s="794"/>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1835</v>
      </c>
      <c r="W143" s="73">
        <f t="shared" ca="1" si="388"/>
        <v>0</v>
      </c>
      <c r="X143" s="64"/>
      <c r="Y143" s="74" t="s">
        <v>497</v>
      </c>
      <c r="Z143" s="73">
        <f t="shared" ca="1" si="389"/>
        <v>0</v>
      </c>
      <c r="AA143" s="64"/>
      <c r="AB143" s="74" t="s">
        <v>1257</v>
      </c>
      <c r="AC143" s="73">
        <f t="shared" ca="1" si="390"/>
        <v>0</v>
      </c>
      <c r="AD143" s="64"/>
      <c r="AE143" s="74" t="s">
        <v>1319</v>
      </c>
      <c r="AF143" s="73">
        <f t="shared" ca="1" si="391"/>
        <v>0</v>
      </c>
      <c r="AG143" s="64"/>
      <c r="AH143" s="74" t="s">
        <v>1319</v>
      </c>
      <c r="AI143" s="73">
        <f t="shared" ca="1" si="392"/>
        <v>0</v>
      </c>
      <c r="AJ143" s="64"/>
      <c r="AK143" s="74" t="s">
        <v>497</v>
      </c>
      <c r="AL143" s="73">
        <f t="shared" ca="1" si="393"/>
        <v>0</v>
      </c>
      <c r="AM143" s="64"/>
      <c r="AN143" s="74" t="s">
        <v>497</v>
      </c>
      <c r="AO143" s="73">
        <f t="shared" ca="1" si="394"/>
        <v>0</v>
      </c>
      <c r="AP143" s="64"/>
      <c r="AQ143" s="74" t="s">
        <v>497</v>
      </c>
      <c r="AR143" s="73">
        <f t="shared" ca="1" si="395"/>
        <v>0</v>
      </c>
      <c r="AS143" s="64"/>
      <c r="AT143" s="74" t="s">
        <v>497</v>
      </c>
      <c r="AU143" s="73">
        <f t="shared" ca="1" si="396"/>
        <v>0</v>
      </c>
      <c r="AV143" s="64"/>
      <c r="AW143" s="74" t="s">
        <v>1319</v>
      </c>
      <c r="AX143" s="73">
        <f t="shared" ca="1" si="397"/>
        <v>0</v>
      </c>
      <c r="AY143" s="64"/>
      <c r="AZ143" s="74" t="s">
        <v>497</v>
      </c>
      <c r="BA143" s="73">
        <f t="shared" ca="1" si="398"/>
        <v>0</v>
      </c>
      <c r="BB143" s="64"/>
      <c r="BC143" s="74" t="s">
        <v>1257</v>
      </c>
      <c r="BD143" s="73">
        <f t="shared" ca="1" si="399"/>
        <v>0</v>
      </c>
      <c r="BE143" s="64"/>
      <c r="BF143" s="74" t="s">
        <v>1835</v>
      </c>
      <c r="BG143" s="73">
        <f t="shared" ca="1" si="400"/>
        <v>0</v>
      </c>
      <c r="BH143" s="64"/>
      <c r="BI143" s="74" t="s">
        <v>497</v>
      </c>
      <c r="BJ143" s="73">
        <f t="shared" ca="1" si="401"/>
        <v>0</v>
      </c>
      <c r="BK143" s="64"/>
      <c r="BL143" s="74" t="s">
        <v>1319</v>
      </c>
      <c r="BM143" s="73">
        <f t="shared" ca="1" si="402"/>
        <v>0</v>
      </c>
      <c r="BN143" s="64"/>
      <c r="BO143" s="74" t="s">
        <v>1835</v>
      </c>
      <c r="BP143" s="73">
        <f t="shared" ca="1" si="403"/>
        <v>0</v>
      </c>
      <c r="BQ143" s="64"/>
      <c r="BR143" s="74" t="s">
        <v>1319</v>
      </c>
      <c r="BS143" s="73">
        <f t="shared" ca="1" si="404"/>
        <v>0</v>
      </c>
      <c r="BT143" s="64"/>
      <c r="BU143" s="74" t="s">
        <v>1835</v>
      </c>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10</v>
      </c>
      <c r="G144" s="445">
        <f ca="1">VLOOKUP(H144,Equipos!$Q$1:$R$25,2,0)</f>
        <v>19</v>
      </c>
      <c r="H144" s="447" t="str">
        <f>Idiomas!$D$137</f>
        <v>CLASIFICADOS PARA DIECISEISAVOS</v>
      </c>
      <c r="I144" s="50"/>
      <c r="J144" s="794"/>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1256</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80</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10</v>
      </c>
      <c r="G145" s="445">
        <f ca="1">VLOOKUP(H145,Equipos!$Q$1:$R$25,2,0)</f>
        <v>19</v>
      </c>
      <c r="H145" s="447" t="str">
        <f>Idiomas!$D$137</f>
        <v>CLASIFICADOS PARA DIECISEISAVOS</v>
      </c>
      <c r="I145" s="50"/>
      <c r="J145" s="794"/>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10</v>
      </c>
      <c r="G146" s="445">
        <f ca="1">VLOOKUP(H146,Equipos!$Q$1:$R$25,2,0)</f>
        <v>19</v>
      </c>
      <c r="H146" s="447" t="str">
        <f>Idiomas!$D$137</f>
        <v>CLASIFICADOS PARA DIECISEISAVOS</v>
      </c>
      <c r="I146" s="50"/>
      <c r="J146" s="794"/>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1841</v>
      </c>
      <c r="AF146" s="73">
        <f t="shared" ca="1" si="391"/>
        <v>0</v>
      </c>
      <c r="AG146" s="64"/>
      <c r="AH146" s="74" t="s">
        <v>1259</v>
      </c>
      <c r="AI146" s="73">
        <f t="shared" ca="1" si="392"/>
        <v>0</v>
      </c>
      <c r="AJ146" s="64"/>
      <c r="AK146" s="74" t="s">
        <v>1259</v>
      </c>
      <c r="AL146" s="73">
        <f t="shared" ca="1" si="393"/>
        <v>0</v>
      </c>
      <c r="AM146" s="64"/>
      <c r="AN146" s="74" t="s">
        <v>75</v>
      </c>
      <c r="AO146" s="73">
        <f t="shared" ca="1" si="394"/>
        <v>0</v>
      </c>
      <c r="AP146" s="64"/>
      <c r="AQ146" s="74" t="s">
        <v>1841</v>
      </c>
      <c r="AR146" s="73">
        <f t="shared" ca="1" si="395"/>
        <v>0</v>
      </c>
      <c r="AS146" s="64"/>
      <c r="AT146" s="74" t="s">
        <v>75</v>
      </c>
      <c r="AU146" s="73">
        <f t="shared" ca="1" si="396"/>
        <v>0</v>
      </c>
      <c r="AV146" s="64"/>
      <c r="AW146" s="74" t="s">
        <v>1259</v>
      </c>
      <c r="AX146" s="73">
        <f t="shared" ca="1" si="397"/>
        <v>0</v>
      </c>
      <c r="AY146" s="64"/>
      <c r="AZ146" s="74" t="s">
        <v>75</v>
      </c>
      <c r="BA146" s="73">
        <f t="shared" ca="1" si="398"/>
        <v>0</v>
      </c>
      <c r="BB146" s="64"/>
      <c r="BC146" s="74" t="s">
        <v>1259</v>
      </c>
      <c r="BD146" s="73">
        <f t="shared" ca="1" si="399"/>
        <v>0</v>
      </c>
      <c r="BE146" s="64"/>
      <c r="BF146" s="74" t="s">
        <v>1259</v>
      </c>
      <c r="BG146" s="73">
        <f t="shared" ca="1" si="400"/>
        <v>0</v>
      </c>
      <c r="BH146" s="64"/>
      <c r="BI146" s="74" t="s">
        <v>1841</v>
      </c>
      <c r="BJ146" s="73">
        <f t="shared" ca="1" si="401"/>
        <v>0</v>
      </c>
      <c r="BK146" s="64"/>
      <c r="BL146" s="74" t="s">
        <v>1841</v>
      </c>
      <c r="BM146" s="73">
        <f t="shared" ca="1" si="402"/>
        <v>0</v>
      </c>
      <c r="BN146" s="64"/>
      <c r="BO146" s="74" t="s">
        <v>1259</v>
      </c>
      <c r="BP146" s="73">
        <f t="shared" ca="1" si="403"/>
        <v>0</v>
      </c>
      <c r="BQ146" s="64"/>
      <c r="BR146" s="74" t="s">
        <v>75</v>
      </c>
      <c r="BS146" s="73">
        <f t="shared" ca="1" si="404"/>
        <v>0</v>
      </c>
      <c r="BT146" s="64"/>
      <c r="BU146" s="74" t="s">
        <v>75</v>
      </c>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10</v>
      </c>
      <c r="G147" s="445">
        <f ca="1">VLOOKUP(H147,Equipos!$Q$1:$R$25,2,0)</f>
        <v>19</v>
      </c>
      <c r="H147" s="447" t="str">
        <f>Idiomas!$D$137</f>
        <v>CLASIFICADOS PARA DIECISEISAVOS</v>
      </c>
      <c r="I147" s="50"/>
      <c r="J147" s="794"/>
      <c r="K147" s="56" t="str">
        <f>Idiomas!$D$198&amp;"-"&amp;ROWS($L$130:L147)</f>
        <v>Dieciseisavofinalista-18</v>
      </c>
      <c r="L147" s="53"/>
      <c r="M147" s="55" t="str">
        <f ca="1">WORLDCUP!AF102</f>
        <v>2F</v>
      </c>
      <c r="N147" s="25"/>
      <c r="O147" s="25"/>
      <c r="P147" s="25"/>
      <c r="Q147" s="25"/>
      <c r="R147" s="110"/>
      <c r="S147" s="74" t="s">
        <v>1833</v>
      </c>
      <c r="T147" s="73">
        <f t="shared" ca="1" si="387"/>
        <v>0</v>
      </c>
      <c r="U147" s="64"/>
      <c r="V147" s="74" t="s">
        <v>1263</v>
      </c>
      <c r="W147" s="73">
        <f t="shared" ca="1" si="388"/>
        <v>0</v>
      </c>
      <c r="X147" s="64"/>
      <c r="Y147" s="74" t="s">
        <v>1833</v>
      </c>
      <c r="Z147" s="73">
        <f t="shared" ca="1" si="389"/>
        <v>0</v>
      </c>
      <c r="AA147" s="64"/>
      <c r="AB147" s="74" t="s">
        <v>1263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1263</v>
      </c>
      <c r="AR147" s="73">
        <f t="shared" ca="1" si="395"/>
        <v>0</v>
      </c>
      <c r="AS147" s="64"/>
      <c r="AT147" s="74" t="s">
        <v>111</v>
      </c>
      <c r="AU147" s="73">
        <f t="shared" ca="1" si="396"/>
        <v>0</v>
      </c>
      <c r="AV147" s="64"/>
      <c r="AW147" s="74" t="s">
        <v>1263</v>
      </c>
      <c r="AX147" s="73">
        <f t="shared" ca="1" si="397"/>
        <v>0</v>
      </c>
      <c r="AY147" s="64"/>
      <c r="AZ147" s="74" t="s">
        <v>1833</v>
      </c>
      <c r="BA147" s="73">
        <f t="shared" ca="1" si="398"/>
        <v>0</v>
      </c>
      <c r="BB147" s="64"/>
      <c r="BC147" s="74" t="s">
        <v>111</v>
      </c>
      <c r="BD147" s="73">
        <f t="shared" ca="1" si="399"/>
        <v>0</v>
      </c>
      <c r="BE147" s="64"/>
      <c r="BF147" s="74" t="s">
        <v>1263</v>
      </c>
      <c r="BG147" s="73">
        <f t="shared" ca="1" si="400"/>
        <v>0</v>
      </c>
      <c r="BH147" s="64"/>
      <c r="BI147" s="74" t="s">
        <v>111</v>
      </c>
      <c r="BJ147" s="73">
        <f t="shared" ca="1" si="401"/>
        <v>0</v>
      </c>
      <c r="BK147" s="64"/>
      <c r="BL147" s="74" t="s">
        <v>1263</v>
      </c>
      <c r="BM147" s="73">
        <f t="shared" ca="1" si="402"/>
        <v>0</v>
      </c>
      <c r="BN147" s="64"/>
      <c r="BO147" s="74" t="s">
        <v>1263</v>
      </c>
      <c r="BP147" s="73">
        <f t="shared" ca="1" si="403"/>
        <v>0</v>
      </c>
      <c r="BQ147" s="64"/>
      <c r="BR147" s="74" t="s">
        <v>1833</v>
      </c>
      <c r="BS147" s="73">
        <f t="shared" ca="1" si="404"/>
        <v>0</v>
      </c>
      <c r="BT147" s="64"/>
      <c r="BU147" s="74" t="s">
        <v>1263</v>
      </c>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10</v>
      </c>
      <c r="G148" s="445">
        <f ca="1">VLOOKUP(H148,Equipos!$Q$1:$R$25,2,0)</f>
        <v>19</v>
      </c>
      <c r="H148" s="447" t="str">
        <f>Idiomas!$D$137</f>
        <v>CLASIFICADOS PARA DIECISEISAVOS</v>
      </c>
      <c r="I148" s="50"/>
      <c r="J148" s="794"/>
      <c r="K148" s="56" t="str">
        <f>Idiomas!$D$198&amp;"-"&amp;ROWS($L$130:L148)</f>
        <v>Dieciseisavofinalista-19</v>
      </c>
      <c r="L148" s="53"/>
      <c r="M148" s="55" t="str">
        <f ca="1">WORLDCUP!AF103</f>
        <v>3ABCDF</v>
      </c>
      <c r="N148" s="25"/>
      <c r="O148" s="25"/>
      <c r="P148" s="25"/>
      <c r="Q148" s="25"/>
      <c r="R148" s="110"/>
      <c r="S148" s="74" t="s">
        <v>134</v>
      </c>
      <c r="T148" s="73">
        <f t="shared" ca="1" si="387"/>
        <v>0</v>
      </c>
      <c r="U148" s="64"/>
      <c r="V148" s="74" t="s">
        <v>1319</v>
      </c>
      <c r="W148" s="73">
        <f t="shared" ca="1" si="388"/>
        <v>0</v>
      </c>
      <c r="X148" s="64"/>
      <c r="Y148" s="74" t="s">
        <v>134</v>
      </c>
      <c r="Z148" s="73">
        <f t="shared" ca="1" si="389"/>
        <v>0</v>
      </c>
      <c r="AA148" s="64"/>
      <c r="AB148" s="74" t="s">
        <v>1835</v>
      </c>
      <c r="AC148" s="73">
        <f t="shared" ca="1" si="390"/>
        <v>0</v>
      </c>
      <c r="AD148" s="64"/>
      <c r="AE148" s="74" t="s">
        <v>1833</v>
      </c>
      <c r="AF148" s="73">
        <f t="shared" ca="1" si="391"/>
        <v>0</v>
      </c>
      <c r="AG148" s="64"/>
      <c r="AH148" s="74" t="s">
        <v>1263</v>
      </c>
      <c r="AI148" s="73">
        <f t="shared" ca="1" si="392"/>
        <v>0</v>
      </c>
      <c r="AJ148" s="64"/>
      <c r="AK148" s="74" t="s">
        <v>1319</v>
      </c>
      <c r="AL148" s="73">
        <f t="shared" ca="1" si="393"/>
        <v>0</v>
      </c>
      <c r="AM148" s="64"/>
      <c r="AN148" s="74" t="s">
        <v>1835</v>
      </c>
      <c r="AO148" s="73">
        <f t="shared" ca="1" si="394"/>
        <v>0</v>
      </c>
      <c r="AP148" s="64"/>
      <c r="AQ148" s="74" t="s">
        <v>134</v>
      </c>
      <c r="AR148" s="73">
        <f t="shared" ca="1" si="395"/>
        <v>0</v>
      </c>
      <c r="AS148" s="64"/>
      <c r="AT148" s="74" t="s">
        <v>1319</v>
      </c>
      <c r="AU148" s="73">
        <f t="shared" ca="1" si="396"/>
        <v>0</v>
      </c>
      <c r="AV148" s="64"/>
      <c r="AW148" s="74" t="s">
        <v>134</v>
      </c>
      <c r="AX148" s="73">
        <f t="shared" ca="1" si="397"/>
        <v>0</v>
      </c>
      <c r="AY148" s="64"/>
      <c r="AZ148" s="74" t="s">
        <v>134</v>
      </c>
      <c r="BA148" s="73">
        <f t="shared" ca="1" si="398"/>
        <v>0</v>
      </c>
      <c r="BB148" s="64"/>
      <c r="BC148" s="74" t="s">
        <v>497</v>
      </c>
      <c r="BD148" s="73">
        <f t="shared" ca="1" si="399"/>
        <v>0</v>
      </c>
      <c r="BE148" s="64"/>
      <c r="BF148" s="74" t="s">
        <v>134</v>
      </c>
      <c r="BG148" s="73">
        <f t="shared" ca="1" si="400"/>
        <v>0</v>
      </c>
      <c r="BH148" s="64"/>
      <c r="BI148" s="74" t="s">
        <v>134</v>
      </c>
      <c r="BJ148" s="73">
        <f t="shared" ca="1" si="401"/>
        <v>0</v>
      </c>
      <c r="BK148" s="64"/>
      <c r="BL148" s="74" t="s">
        <v>1257</v>
      </c>
      <c r="BM148" s="73">
        <f t="shared" ca="1" si="402"/>
        <v>0</v>
      </c>
      <c r="BN148" s="64"/>
      <c r="BO148" s="74" t="s">
        <v>134</v>
      </c>
      <c r="BP148" s="73">
        <f t="shared" ca="1" si="403"/>
        <v>0</v>
      </c>
      <c r="BQ148" s="64"/>
      <c r="BR148" s="74" t="s">
        <v>1835</v>
      </c>
      <c r="BS148" s="73">
        <f t="shared" ca="1" si="404"/>
        <v>0</v>
      </c>
      <c r="BT148" s="64"/>
      <c r="BU148" s="74" t="s">
        <v>1319</v>
      </c>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10</v>
      </c>
      <c r="G149" s="445">
        <f ca="1">VLOOKUP(H149,Equipos!$Q$1:$R$25,2,0)</f>
        <v>19</v>
      </c>
      <c r="H149" s="447" t="str">
        <f>Idiomas!$D$137</f>
        <v>CLASIFICADOS PARA DIECISEISAVOS</v>
      </c>
      <c r="I149" s="50"/>
      <c r="J149" s="794"/>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1321</v>
      </c>
      <c r="AR149" s="73">
        <f t="shared" ca="1" si="395"/>
        <v>0</v>
      </c>
      <c r="AS149" s="64"/>
      <c r="AT149" s="74" t="s">
        <v>1258</v>
      </c>
      <c r="AU149" s="73">
        <f t="shared" ca="1" si="396"/>
        <v>0</v>
      </c>
      <c r="AV149" s="64"/>
      <c r="AW149" s="74" t="s">
        <v>1321</v>
      </c>
      <c r="AX149" s="73">
        <f t="shared" ca="1" si="397"/>
        <v>0</v>
      </c>
      <c r="AY149" s="64"/>
      <c r="AZ149" s="74" t="s">
        <v>1258</v>
      </c>
      <c r="BA149" s="73">
        <f t="shared" ca="1" si="398"/>
        <v>0</v>
      </c>
      <c r="BB149" s="64"/>
      <c r="BC149" s="74" t="s">
        <v>134</v>
      </c>
      <c r="BD149" s="73">
        <f t="shared" ca="1" si="399"/>
        <v>0</v>
      </c>
      <c r="BE149" s="64"/>
      <c r="BF149" s="74" t="s">
        <v>1321</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10</v>
      </c>
      <c r="G150" s="445">
        <f ca="1">VLOOKUP(H150,Equipos!$Q$1:$R$25,2,0)</f>
        <v>19</v>
      </c>
      <c r="H150" s="447" t="str">
        <f>Idiomas!$D$137</f>
        <v>CLASIFICADOS PARA DIECISEISAVOS</v>
      </c>
      <c r="I150" s="50"/>
      <c r="J150" s="794"/>
      <c r="K150" s="56" t="str">
        <f>Idiomas!$D$198&amp;"-"&amp;ROWS($L$130:L150)</f>
        <v>Dieciseisavofinalista-21</v>
      </c>
      <c r="L150" s="53"/>
      <c r="M150" s="55" t="str">
        <f ca="1">WORLDCUP!AF105</f>
        <v>2I</v>
      </c>
      <c r="N150" s="25"/>
      <c r="O150" s="25"/>
      <c r="P150" s="25"/>
      <c r="Q150" s="25"/>
      <c r="R150" s="110"/>
      <c r="S150" s="74" t="s">
        <v>74</v>
      </c>
      <c r="T150" s="73">
        <f t="shared" ca="1" si="387"/>
        <v>0</v>
      </c>
      <c r="U150" s="64"/>
      <c r="V150" s="74" t="s">
        <v>135</v>
      </c>
      <c r="W150" s="73">
        <f t="shared" ca="1" si="388"/>
        <v>0</v>
      </c>
      <c r="X150" s="64"/>
      <c r="Y150" s="74" t="s">
        <v>135</v>
      </c>
      <c r="Z150" s="73">
        <f t="shared" ca="1" si="389"/>
        <v>0</v>
      </c>
      <c r="AA150" s="64"/>
      <c r="AB150" s="74" t="s">
        <v>1634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1634</v>
      </c>
      <c r="AO150" s="73">
        <f t="shared" ca="1" si="394"/>
        <v>0</v>
      </c>
      <c r="AP150" s="64"/>
      <c r="AQ150" s="74" t="s">
        <v>135</v>
      </c>
      <c r="AR150" s="73">
        <f t="shared" ca="1" si="395"/>
        <v>0</v>
      </c>
      <c r="AS150" s="64"/>
      <c r="AT150" s="74" t="s">
        <v>1634</v>
      </c>
      <c r="AU150" s="73">
        <f t="shared" ca="1" si="396"/>
        <v>0</v>
      </c>
      <c r="AV150" s="64"/>
      <c r="AW150" s="74" t="s">
        <v>135</v>
      </c>
      <c r="AX150" s="73">
        <f t="shared" ca="1" si="397"/>
        <v>0</v>
      </c>
      <c r="AY150" s="64"/>
      <c r="AZ150" s="74" t="s">
        <v>135</v>
      </c>
      <c r="BA150" s="73">
        <f t="shared" ca="1" si="398"/>
        <v>0</v>
      </c>
      <c r="BB150" s="64"/>
      <c r="BC150" s="74" t="s">
        <v>74</v>
      </c>
      <c r="BD150" s="73">
        <f t="shared" ca="1" si="399"/>
        <v>0</v>
      </c>
      <c r="BE150" s="64"/>
      <c r="BF150" s="74" t="s">
        <v>135</v>
      </c>
      <c r="BG150" s="73">
        <f t="shared" ca="1" si="400"/>
        <v>0</v>
      </c>
      <c r="BH150" s="64"/>
      <c r="BI150" s="74" t="s">
        <v>74</v>
      </c>
      <c r="BJ150" s="73">
        <f t="shared" ca="1" si="401"/>
        <v>0</v>
      </c>
      <c r="BK150" s="64"/>
      <c r="BL150" s="74" t="s">
        <v>1634</v>
      </c>
      <c r="BM150" s="73">
        <f t="shared" ca="1" si="402"/>
        <v>0</v>
      </c>
      <c r="BN150" s="64"/>
      <c r="BO150" s="74" t="s">
        <v>135</v>
      </c>
      <c r="BP150" s="73">
        <f t="shared" ca="1" si="403"/>
        <v>0</v>
      </c>
      <c r="BQ150" s="64"/>
      <c r="BR150" s="74" t="s">
        <v>1634</v>
      </c>
      <c r="BS150" s="73">
        <f t="shared" ca="1" si="404"/>
        <v>0</v>
      </c>
      <c r="BT150" s="64"/>
      <c r="BU150" s="74" t="s">
        <v>1634</v>
      </c>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10</v>
      </c>
      <c r="G151" s="445">
        <f ca="1">VLOOKUP(H151,Equipos!$Q$1:$R$25,2,0)</f>
        <v>19</v>
      </c>
      <c r="H151" s="447" t="str">
        <f>Idiomas!$D$137</f>
        <v>CLASIFICADOS PARA DIECISEISAVOS</v>
      </c>
      <c r="I151" s="50"/>
      <c r="J151" s="794"/>
      <c r="K151" s="56" t="str">
        <f>Idiomas!$D$198&amp;"-"&amp;ROWS($L$130:L151)</f>
        <v>Dieciseisavofinalista-22</v>
      </c>
      <c r="L151" s="53"/>
      <c r="M151" s="55" t="str">
        <f ca="1">WORLDCUP!AF106</f>
        <v>3CDFGH</v>
      </c>
      <c r="N151" s="25"/>
      <c r="O151" s="25"/>
      <c r="P151" s="25"/>
      <c r="Q151" s="25"/>
      <c r="R151" s="110"/>
      <c r="S151" s="74" t="s">
        <v>111</v>
      </c>
      <c r="T151" s="73">
        <f t="shared" ca="1" si="387"/>
        <v>0</v>
      </c>
      <c r="U151" s="64"/>
      <c r="V151" s="74" t="s">
        <v>1833</v>
      </c>
      <c r="W151" s="73">
        <f t="shared" ca="1" si="388"/>
        <v>0</v>
      </c>
      <c r="X151" s="64"/>
      <c r="Y151" s="74" t="s">
        <v>1263</v>
      </c>
      <c r="Z151" s="73">
        <f t="shared" ca="1" si="389"/>
        <v>0</v>
      </c>
      <c r="AA151" s="64"/>
      <c r="AB151" s="74" t="s">
        <v>1833</v>
      </c>
      <c r="AC151" s="73">
        <f t="shared" ca="1" si="390"/>
        <v>0</v>
      </c>
      <c r="AD151" s="64"/>
      <c r="AE151" s="74" t="s">
        <v>1262</v>
      </c>
      <c r="AF151" s="73">
        <f t="shared" ca="1" si="391"/>
        <v>0</v>
      </c>
      <c r="AG151" s="64"/>
      <c r="AH151" s="74" t="s">
        <v>1550</v>
      </c>
      <c r="AI151" s="73">
        <f t="shared" ca="1" si="392"/>
        <v>0</v>
      </c>
      <c r="AJ151" s="64"/>
      <c r="AK151" s="74" t="s">
        <v>1833</v>
      </c>
      <c r="AL151" s="73">
        <f t="shared" ca="1" si="393"/>
        <v>0</v>
      </c>
      <c r="AM151" s="64"/>
      <c r="AN151" s="74" t="s">
        <v>1833</v>
      </c>
      <c r="AO151" s="73">
        <f t="shared" ca="1" si="394"/>
        <v>0</v>
      </c>
      <c r="AP151" s="64"/>
      <c r="AQ151" s="74" t="s">
        <v>1319</v>
      </c>
      <c r="AR151" s="73">
        <f t="shared" ca="1" si="395"/>
        <v>0</v>
      </c>
      <c r="AS151" s="64"/>
      <c r="AT151" s="74" t="s">
        <v>1263</v>
      </c>
      <c r="AU151" s="73">
        <f t="shared" ca="1" si="396"/>
        <v>0</v>
      </c>
      <c r="AV151" s="64"/>
      <c r="AW151" s="74" t="s">
        <v>1833</v>
      </c>
      <c r="AX151" s="73">
        <f t="shared" ca="1" si="397"/>
        <v>0</v>
      </c>
      <c r="AY151" s="64"/>
      <c r="AZ151" s="74" t="s">
        <v>1632</v>
      </c>
      <c r="BA151" s="73">
        <f t="shared" ca="1" si="398"/>
        <v>0</v>
      </c>
      <c r="BB151" s="64"/>
      <c r="BC151" s="74" t="s">
        <v>1833</v>
      </c>
      <c r="BD151" s="73">
        <f t="shared" ca="1" si="399"/>
        <v>0</v>
      </c>
      <c r="BE151" s="64"/>
      <c r="BF151" s="74" t="s">
        <v>1319</v>
      </c>
      <c r="BG151" s="73">
        <f t="shared" ca="1" si="400"/>
        <v>0</v>
      </c>
      <c r="BH151" s="64"/>
      <c r="BI151" s="74" t="s">
        <v>1319</v>
      </c>
      <c r="BJ151" s="73">
        <f t="shared" ca="1" si="401"/>
        <v>0</v>
      </c>
      <c r="BK151" s="64"/>
      <c r="BL151" s="74" t="s">
        <v>1833</v>
      </c>
      <c r="BM151" s="73">
        <f t="shared" ca="1" si="402"/>
        <v>0</v>
      </c>
      <c r="BN151" s="64"/>
      <c r="BO151" s="74" t="s">
        <v>1319</v>
      </c>
      <c r="BP151" s="73">
        <f t="shared" ca="1" si="403"/>
        <v>0</v>
      </c>
      <c r="BQ151" s="64"/>
      <c r="BR151" s="74" t="s">
        <v>1263</v>
      </c>
      <c r="BS151" s="73">
        <f t="shared" ca="1" si="404"/>
        <v>0</v>
      </c>
      <c r="BT151" s="64"/>
      <c r="BU151" s="74" t="s">
        <v>1833</v>
      </c>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10</v>
      </c>
      <c r="G152" s="445">
        <f ca="1">VLOOKUP(H152,Equipos!$Q$1:$R$25,2,0)</f>
        <v>19</v>
      </c>
      <c r="H152" s="447" t="str">
        <f>Idiomas!$D$137</f>
        <v>CLASIFICADOS PARA DIECISEISAVOS</v>
      </c>
      <c r="I152" s="50"/>
      <c r="J152" s="794"/>
      <c r="K152" s="56" t="str">
        <f>Idiomas!$D$198&amp;"-"&amp;ROWS($L$130:L152)</f>
        <v>Dieciseisavofinalista-23</v>
      </c>
      <c r="L152" s="53"/>
      <c r="M152" s="55" t="str">
        <f ca="1">WORLDCUP!AF107</f>
        <v>3CEFHI</v>
      </c>
      <c r="N152" s="25"/>
      <c r="O152" s="25"/>
      <c r="P152" s="25"/>
      <c r="Q152" s="25"/>
      <c r="R152" s="110"/>
      <c r="S152" s="74" t="s">
        <v>1632</v>
      </c>
      <c r="T152" s="73">
        <f t="shared" ca="1" si="387"/>
        <v>0</v>
      </c>
      <c r="U152" s="64"/>
      <c r="V152" s="74" t="s">
        <v>134</v>
      </c>
      <c r="W152" s="73">
        <f t="shared" ca="1" si="388"/>
        <v>0</v>
      </c>
      <c r="X152" s="64"/>
      <c r="Y152" s="74" t="s">
        <v>77</v>
      </c>
      <c r="Z152" s="73">
        <f t="shared" ca="1" si="389"/>
        <v>0</v>
      </c>
      <c r="AA152" s="64"/>
      <c r="AB152" s="74" t="s">
        <v>1632</v>
      </c>
      <c r="AC152" s="73">
        <f t="shared" ca="1" si="390"/>
        <v>0</v>
      </c>
      <c r="AD152" s="64"/>
      <c r="AE152" s="74" t="s">
        <v>1632</v>
      </c>
      <c r="AF152" s="73">
        <f t="shared" ca="1" si="391"/>
        <v>0</v>
      </c>
      <c r="AG152" s="64"/>
      <c r="AH152" s="74" t="s">
        <v>1318</v>
      </c>
      <c r="AI152" s="73">
        <f t="shared" ca="1" si="392"/>
        <v>0</v>
      </c>
      <c r="AJ152" s="64"/>
      <c r="AK152" s="74" t="s">
        <v>134</v>
      </c>
      <c r="AL152" s="73">
        <f t="shared" ca="1" si="393"/>
        <v>0</v>
      </c>
      <c r="AM152" s="64"/>
      <c r="AN152" s="74" t="s">
        <v>1552</v>
      </c>
      <c r="AO152" s="73">
        <f t="shared" ca="1" si="394"/>
        <v>0</v>
      </c>
      <c r="AP152" s="64"/>
      <c r="AQ152" s="74" t="s">
        <v>1632</v>
      </c>
      <c r="AR152" s="73">
        <f t="shared" ca="1" si="395"/>
        <v>0</v>
      </c>
      <c r="AS152" s="64"/>
      <c r="AT152" s="74" t="s">
        <v>134</v>
      </c>
      <c r="AU152" s="73">
        <f t="shared" ca="1" si="396"/>
        <v>0</v>
      </c>
      <c r="AV152" s="64"/>
      <c r="AW152" s="74" t="s">
        <v>1632</v>
      </c>
      <c r="AX152" s="73">
        <f t="shared" ca="1" si="397"/>
        <v>0</v>
      </c>
      <c r="AY152" s="64"/>
      <c r="AZ152" s="74" t="s">
        <v>1261</v>
      </c>
      <c r="BA152" s="73">
        <f t="shared" ca="1" si="398"/>
        <v>0</v>
      </c>
      <c r="BB152" s="64"/>
      <c r="BC152" s="74" t="s">
        <v>1321</v>
      </c>
      <c r="BD152" s="73">
        <f t="shared" ca="1" si="399"/>
        <v>0</v>
      </c>
      <c r="BE152" s="64"/>
      <c r="BF152" s="74" t="s">
        <v>1633</v>
      </c>
      <c r="BG152" s="73">
        <f t="shared" ca="1" si="400"/>
        <v>0</v>
      </c>
      <c r="BH152" s="64"/>
      <c r="BI152" s="74" t="s">
        <v>1633</v>
      </c>
      <c r="BJ152" s="73">
        <f t="shared" ca="1" si="401"/>
        <v>0</v>
      </c>
      <c r="BK152" s="64"/>
      <c r="BL152" s="74" t="s">
        <v>1633</v>
      </c>
      <c r="BM152" s="73">
        <f t="shared" ca="1" si="402"/>
        <v>0</v>
      </c>
      <c r="BN152" s="64"/>
      <c r="BO152" s="74" t="s">
        <v>1261</v>
      </c>
      <c r="BP152" s="73">
        <f t="shared" ca="1" si="403"/>
        <v>0</v>
      </c>
      <c r="BQ152" s="64"/>
      <c r="BR152" s="74" t="s">
        <v>134</v>
      </c>
      <c r="BS152" s="73">
        <f t="shared" ca="1" si="404"/>
        <v>0</v>
      </c>
      <c r="BT152" s="64"/>
      <c r="BU152" s="74" t="s">
        <v>134</v>
      </c>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10</v>
      </c>
      <c r="G153" s="445">
        <f ca="1">VLOOKUP(H153,Equipos!$Q$1:$R$25,2,0)</f>
        <v>19</v>
      </c>
      <c r="H153" s="447" t="str">
        <f>Idiomas!$D$137</f>
        <v>CLASIFICADOS PARA DIECISEISAVOS</v>
      </c>
      <c r="I153" s="50"/>
      <c r="J153" s="794"/>
      <c r="K153" s="56" t="str">
        <f>Idiomas!$D$198&amp;"-"&amp;ROWS($L$130:L153)</f>
        <v>Dieciseisavofinalista-24</v>
      </c>
      <c r="L153" s="53"/>
      <c r="M153" s="55" t="str">
        <f ca="1">WORLDCUP!AF108</f>
        <v>3EHIJK</v>
      </c>
      <c r="N153" s="25"/>
      <c r="O153" s="25"/>
      <c r="P153" s="25"/>
      <c r="Q153" s="25"/>
      <c r="R153" s="110"/>
      <c r="S153" s="74" t="s">
        <v>1267</v>
      </c>
      <c r="T153" s="73">
        <f t="shared" ca="1" si="387"/>
        <v>0</v>
      </c>
      <c r="U153" s="64"/>
      <c r="V153" s="74" t="s">
        <v>1633</v>
      </c>
      <c r="W153" s="73">
        <f t="shared" ca="1" si="388"/>
        <v>0</v>
      </c>
      <c r="X153" s="64"/>
      <c r="Y153" s="74" t="s">
        <v>1839</v>
      </c>
      <c r="Z153" s="73">
        <f t="shared" ca="1" si="389"/>
        <v>0</v>
      </c>
      <c r="AA153" s="64"/>
      <c r="AB153" s="74" t="s">
        <v>135</v>
      </c>
      <c r="AC153" s="73">
        <f t="shared" ca="1" si="390"/>
        <v>0</v>
      </c>
      <c r="AD153" s="64"/>
      <c r="AE153" s="74" t="s">
        <v>1267</v>
      </c>
      <c r="AF153" s="73">
        <f t="shared" ca="1" si="391"/>
        <v>0</v>
      </c>
      <c r="AG153" s="64"/>
      <c r="AH153" s="74" t="s">
        <v>1634</v>
      </c>
      <c r="AI153" s="73">
        <f t="shared" ca="1" si="392"/>
        <v>0</v>
      </c>
      <c r="AJ153" s="64"/>
      <c r="AK153" s="74" t="s">
        <v>1634</v>
      </c>
      <c r="AL153" s="73">
        <f t="shared" ca="1" si="393"/>
        <v>0</v>
      </c>
      <c r="AM153" s="64"/>
      <c r="AN153" s="74" t="s">
        <v>1726</v>
      </c>
      <c r="AO153" s="73">
        <f t="shared" ca="1" si="394"/>
        <v>0</v>
      </c>
      <c r="AP153" s="64"/>
      <c r="AQ153" s="74" t="s">
        <v>1634</v>
      </c>
      <c r="AR153" s="73">
        <f t="shared" ca="1" si="395"/>
        <v>0</v>
      </c>
      <c r="AS153" s="64"/>
      <c r="AT153" s="74" t="s">
        <v>135</v>
      </c>
      <c r="AU153" s="73">
        <f t="shared" ca="1" si="396"/>
        <v>0</v>
      </c>
      <c r="AV153" s="64"/>
      <c r="AW153" s="74" t="s">
        <v>1634</v>
      </c>
      <c r="AX153" s="73">
        <f t="shared" ca="1" si="397"/>
        <v>0</v>
      </c>
      <c r="AY153" s="64"/>
      <c r="AZ153" s="74" t="s">
        <v>1839</v>
      </c>
      <c r="BA153" s="73">
        <f t="shared" ca="1" si="398"/>
        <v>0</v>
      </c>
      <c r="BB153" s="64"/>
      <c r="BC153" s="74" t="s">
        <v>1320</v>
      </c>
      <c r="BD153" s="73">
        <f t="shared" ca="1" si="399"/>
        <v>0</v>
      </c>
      <c r="BE153" s="64"/>
      <c r="BF153" s="74" t="s">
        <v>1558</v>
      </c>
      <c r="BG153" s="73">
        <f t="shared" ca="1" si="400"/>
        <v>0</v>
      </c>
      <c r="BH153" s="64"/>
      <c r="BI153" s="74" t="s">
        <v>1320</v>
      </c>
      <c r="BJ153" s="73">
        <f t="shared" ca="1" si="401"/>
        <v>0</v>
      </c>
      <c r="BK153" s="64"/>
      <c r="BL153" s="74" t="s">
        <v>1267</v>
      </c>
      <c r="BM153" s="73">
        <f t="shared" ca="1" si="402"/>
        <v>0</v>
      </c>
      <c r="BN153" s="64"/>
      <c r="BO153" s="74" t="s">
        <v>1839</v>
      </c>
      <c r="BP153" s="73">
        <f t="shared" ca="1" si="403"/>
        <v>0</v>
      </c>
      <c r="BQ153" s="64"/>
      <c r="BR153" s="74" t="s">
        <v>135</v>
      </c>
      <c r="BS153" s="73">
        <f t="shared" ca="1" si="404"/>
        <v>0</v>
      </c>
      <c r="BT153" s="64"/>
      <c r="BU153" s="74" t="s">
        <v>135</v>
      </c>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10</v>
      </c>
      <c r="G154" s="445">
        <f ca="1">VLOOKUP(H154,Equipos!$Q$1:$R$25,2,0)</f>
        <v>19</v>
      </c>
      <c r="H154" s="447" t="str">
        <f>Idiomas!$D$137</f>
        <v>CLASIFICADOS PARA DIECISEISAVOS</v>
      </c>
      <c r="I154" s="50"/>
      <c r="J154" s="794"/>
      <c r="K154" s="56" t="str">
        <f>Idiomas!$D$198&amp;"-"&amp;ROWS($L$130:L154)</f>
        <v>Dieciseisavofinalista-25</v>
      </c>
      <c r="L154" s="53"/>
      <c r="M154" s="55" t="str">
        <f ca="1">WORLDCUP!AF109</f>
        <v>3AEHIJ</v>
      </c>
      <c r="N154" s="25"/>
      <c r="O154" s="25"/>
      <c r="P154" s="25"/>
      <c r="Q154" s="25"/>
      <c r="R154" s="110"/>
      <c r="S154" s="74" t="s">
        <v>1843</v>
      </c>
      <c r="T154" s="73">
        <f t="shared" ca="1" si="387"/>
        <v>0</v>
      </c>
      <c r="U154" s="64"/>
      <c r="V154" s="74" t="s">
        <v>1558</v>
      </c>
      <c r="W154" s="73">
        <f t="shared" ca="1" si="388"/>
        <v>0</v>
      </c>
      <c r="X154" s="64"/>
      <c r="Y154" s="74" t="s">
        <v>1260</v>
      </c>
      <c r="Z154" s="73">
        <f t="shared" ca="1" si="389"/>
        <v>0</v>
      </c>
      <c r="AA154" s="64"/>
      <c r="AB154" s="74" t="s">
        <v>1630</v>
      </c>
      <c r="AC154" s="73">
        <f t="shared" ca="1" si="390"/>
        <v>0</v>
      </c>
      <c r="AD154" s="64"/>
      <c r="AE154" s="74" t="s">
        <v>1260</v>
      </c>
      <c r="AF154" s="73">
        <f t="shared" ca="1" si="391"/>
        <v>0</v>
      </c>
      <c r="AG154" s="64"/>
      <c r="AH154" s="74" t="s">
        <v>1843</v>
      </c>
      <c r="AI154" s="73">
        <f t="shared" ca="1" si="392"/>
        <v>0</v>
      </c>
      <c r="AJ154" s="64"/>
      <c r="AK154" s="74" t="s">
        <v>1260</v>
      </c>
      <c r="AL154" s="73">
        <f t="shared" ca="1" si="393"/>
        <v>0</v>
      </c>
      <c r="AM154" s="64"/>
      <c r="AN154" s="74" t="s">
        <v>1260</v>
      </c>
      <c r="AO154" s="73">
        <f t="shared" ca="1" si="394"/>
        <v>0</v>
      </c>
      <c r="AP154" s="64"/>
      <c r="AQ154" s="74" t="s">
        <v>1260</v>
      </c>
      <c r="AR154" s="73">
        <f t="shared" ca="1" si="395"/>
        <v>0</v>
      </c>
      <c r="AS154" s="64"/>
      <c r="AT154" s="74" t="s">
        <v>1260</v>
      </c>
      <c r="AU154" s="73">
        <f t="shared" ca="1" si="396"/>
        <v>0</v>
      </c>
      <c r="AV154" s="64"/>
      <c r="AW154" s="74" t="s">
        <v>1843</v>
      </c>
      <c r="AX154" s="73">
        <f t="shared" ca="1" si="397"/>
        <v>0</v>
      </c>
      <c r="AY154" s="64"/>
      <c r="AZ154" s="74" t="s">
        <v>1843</v>
      </c>
      <c r="BA154" s="73">
        <f t="shared" ca="1" si="398"/>
        <v>0</v>
      </c>
      <c r="BB154" s="64"/>
      <c r="BC154" s="74" t="s">
        <v>1634</v>
      </c>
      <c r="BD154" s="73">
        <f t="shared" ca="1" si="399"/>
        <v>0</v>
      </c>
      <c r="BE154" s="64"/>
      <c r="BF154" s="74" t="s">
        <v>1843</v>
      </c>
      <c r="BG154" s="73">
        <f t="shared" ca="1" si="400"/>
        <v>0</v>
      </c>
      <c r="BH154" s="64"/>
      <c r="BI154" s="74" t="s">
        <v>1843</v>
      </c>
      <c r="BJ154" s="73">
        <f t="shared" ca="1" si="401"/>
        <v>0</v>
      </c>
      <c r="BK154" s="64"/>
      <c r="BL154" s="74" t="s">
        <v>1260</v>
      </c>
      <c r="BM154" s="73">
        <f t="shared" ca="1" si="402"/>
        <v>0</v>
      </c>
      <c r="BN154" s="64"/>
      <c r="BO154" s="74" t="s">
        <v>1632</v>
      </c>
      <c r="BP154" s="73">
        <f t="shared" ca="1" si="403"/>
        <v>0</v>
      </c>
      <c r="BQ154" s="64"/>
      <c r="BR154" s="74" t="s">
        <v>1260</v>
      </c>
      <c r="BS154" s="73">
        <f t="shared" ca="1" si="404"/>
        <v>0</v>
      </c>
      <c r="BT154" s="64"/>
      <c r="BU154" s="74" t="s">
        <v>1558</v>
      </c>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10</v>
      </c>
      <c r="G155" s="445">
        <f ca="1">VLOOKUP(H155,Equipos!$Q$1:$R$25,2,0)</f>
        <v>19</v>
      </c>
      <c r="H155" s="447" t="str">
        <f>Idiomas!$D$137</f>
        <v>CLASIFICADOS PARA DIECISEISAVOS</v>
      </c>
      <c r="I155" s="50"/>
      <c r="J155" s="794"/>
      <c r="K155" s="56" t="str">
        <f>Idiomas!$D$198&amp;"-"&amp;ROWS($L$130:L155)</f>
        <v>Dieciseisavofinalista-26</v>
      </c>
      <c r="L155" s="53"/>
      <c r="M155" s="55" t="str">
        <f ca="1">WORLDCUP!AF110</f>
        <v>3BEFIJ</v>
      </c>
      <c r="N155" s="25"/>
      <c r="O155" s="25"/>
      <c r="P155" s="25"/>
      <c r="Q155" s="25"/>
      <c r="R155" s="110"/>
      <c r="S155" s="74" t="s">
        <v>1841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1631</v>
      </c>
      <c r="AF155" s="73">
        <f t="shared" ca="1" si="391"/>
        <v>0</v>
      </c>
      <c r="AG155" s="64"/>
      <c r="AH155" s="74" t="s">
        <v>1841</v>
      </c>
      <c r="AI155" s="73">
        <f t="shared" ca="1" si="392"/>
        <v>0</v>
      </c>
      <c r="AJ155" s="64"/>
      <c r="AK155" s="74" t="s">
        <v>1841</v>
      </c>
      <c r="AL155" s="73">
        <f t="shared" ca="1" si="393"/>
        <v>0</v>
      </c>
      <c r="AM155" s="64"/>
      <c r="AN155" s="74" t="s">
        <v>1631</v>
      </c>
      <c r="AO155" s="73">
        <f t="shared" ca="1" si="394"/>
        <v>0</v>
      </c>
      <c r="AP155" s="64"/>
      <c r="AQ155" s="74" t="s">
        <v>1259</v>
      </c>
      <c r="AR155" s="73">
        <f t="shared" ca="1" si="395"/>
        <v>0</v>
      </c>
      <c r="AS155" s="64"/>
      <c r="AT155" s="74" t="s">
        <v>1841</v>
      </c>
      <c r="AU155" s="73">
        <f t="shared" ca="1" si="396"/>
        <v>0</v>
      </c>
      <c r="AV155" s="64"/>
      <c r="AW155" s="74" t="s">
        <v>1631</v>
      </c>
      <c r="AX155" s="73">
        <f t="shared" ca="1" si="397"/>
        <v>0</v>
      </c>
      <c r="AY155" s="64"/>
      <c r="AZ155" s="74" t="s">
        <v>1634</v>
      </c>
      <c r="BA155" s="73">
        <f t="shared" ca="1" si="398"/>
        <v>0</v>
      </c>
      <c r="BB155" s="64"/>
      <c r="BC155" s="74" t="s">
        <v>1841</v>
      </c>
      <c r="BD155" s="73">
        <f t="shared" ca="1" si="399"/>
        <v>0</v>
      </c>
      <c r="BE155" s="64"/>
      <c r="BF155" s="74" t="s">
        <v>1841</v>
      </c>
      <c r="BG155" s="73">
        <f t="shared" ca="1" si="400"/>
        <v>0</v>
      </c>
      <c r="BH155" s="64"/>
      <c r="BI155" s="74" t="s">
        <v>80</v>
      </c>
      <c r="BJ155" s="73">
        <f t="shared" ca="1" si="401"/>
        <v>0</v>
      </c>
      <c r="BK155" s="64"/>
      <c r="BL155" s="74" t="s">
        <v>80</v>
      </c>
      <c r="BM155" s="73">
        <f t="shared" ca="1" si="402"/>
        <v>0</v>
      </c>
      <c r="BN155" s="64"/>
      <c r="BO155" s="74" t="s">
        <v>1558</v>
      </c>
      <c r="BP155" s="73">
        <f t="shared" ca="1" si="403"/>
        <v>0</v>
      </c>
      <c r="BQ155" s="64"/>
      <c r="BR155" s="74" t="s">
        <v>1841</v>
      </c>
      <c r="BS155" s="73">
        <f t="shared" ca="1" si="404"/>
        <v>0</v>
      </c>
      <c r="BT155" s="64"/>
      <c r="BU155" s="74" t="s">
        <v>1841</v>
      </c>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10</v>
      </c>
      <c r="G156" s="445">
        <f ca="1">VLOOKUP(H156,Equipos!$Q$1:$R$25,2,0)</f>
        <v>19</v>
      </c>
      <c r="H156" s="447" t="str">
        <f>Idiomas!$D$137</f>
        <v>CLASIFICADOS PARA DIECISEISAVOS</v>
      </c>
      <c r="I156" s="50"/>
      <c r="J156" s="794"/>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1558</v>
      </c>
      <c r="AF156" s="73">
        <f t="shared" ca="1" si="391"/>
        <v>0</v>
      </c>
      <c r="AG156" s="64"/>
      <c r="AH156" s="74" t="s">
        <v>1558</v>
      </c>
      <c r="AI156" s="73">
        <f t="shared" ca="1" si="392"/>
        <v>0</v>
      </c>
      <c r="AJ156" s="64"/>
      <c r="AK156" s="74" t="s">
        <v>80</v>
      </c>
      <c r="AL156" s="73">
        <f t="shared" ca="1" si="393"/>
        <v>0</v>
      </c>
      <c r="AM156" s="64"/>
      <c r="AN156" s="74" t="s">
        <v>1558</v>
      </c>
      <c r="AO156" s="73">
        <f t="shared" ca="1" si="394"/>
        <v>0</v>
      </c>
      <c r="AP156" s="64"/>
      <c r="AQ156" s="74" t="s">
        <v>1558</v>
      </c>
      <c r="AR156" s="73">
        <f t="shared" ca="1" si="395"/>
        <v>0</v>
      </c>
      <c r="AS156" s="64"/>
      <c r="AT156" s="74" t="s">
        <v>1558</v>
      </c>
      <c r="AU156" s="73">
        <f t="shared" ca="1" si="396"/>
        <v>0</v>
      </c>
      <c r="AV156" s="64"/>
      <c r="AW156" s="74" t="s">
        <v>80</v>
      </c>
      <c r="AX156" s="73">
        <f t="shared" ca="1" si="397"/>
        <v>0</v>
      </c>
      <c r="AY156" s="64"/>
      <c r="AZ156" s="74" t="s">
        <v>1256</v>
      </c>
      <c r="BA156" s="73">
        <f t="shared" ca="1" si="398"/>
        <v>0</v>
      </c>
      <c r="BB156" s="64"/>
      <c r="BC156" s="74" t="s">
        <v>80</v>
      </c>
      <c r="BD156" s="73">
        <f t="shared" ca="1" si="399"/>
        <v>0</v>
      </c>
      <c r="BE156" s="64"/>
      <c r="BF156" s="74" t="s">
        <v>80</v>
      </c>
      <c r="BG156" s="73">
        <f t="shared" ca="1" si="400"/>
        <v>0</v>
      </c>
      <c r="BH156" s="64"/>
      <c r="BI156" s="74" t="s">
        <v>1558</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10</v>
      </c>
      <c r="G157" s="445">
        <f ca="1">VLOOKUP(H157,Equipos!$Q$1:$R$25,2,0)</f>
        <v>19</v>
      </c>
      <c r="H157" s="447" t="str">
        <f>Idiomas!$D$137</f>
        <v>CLASIFICADOS PARA DIECISEISAVOS</v>
      </c>
      <c r="I157" s="50"/>
      <c r="J157" s="794"/>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1551</v>
      </c>
      <c r="BJ157" s="73">
        <f t="shared" ca="1" si="401"/>
        <v>0</v>
      </c>
      <c r="BK157" s="64"/>
      <c r="BL157" s="74" t="s">
        <v>78</v>
      </c>
      <c r="BM157" s="73">
        <f t="shared" ca="1" si="402"/>
        <v>0</v>
      </c>
      <c r="BN157" s="64"/>
      <c r="BO157" s="74" t="s">
        <v>1551</v>
      </c>
      <c r="BP157" s="73">
        <f t="shared" ca="1" si="403"/>
        <v>0</v>
      </c>
      <c r="BQ157" s="64"/>
      <c r="BR157" s="74" t="s">
        <v>78</v>
      </c>
      <c r="BS157" s="73">
        <f t="shared" ca="1" si="404"/>
        <v>0</v>
      </c>
      <c r="BT157" s="64"/>
      <c r="BU157" s="74" t="s">
        <v>78</v>
      </c>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10</v>
      </c>
      <c r="G158" s="445">
        <f ca="1">VLOOKUP(H158,Equipos!$Q$1:$R$25,2,0)</f>
        <v>19</v>
      </c>
      <c r="H158" s="447" t="str">
        <f>Idiomas!$D$137</f>
        <v>CLASIFICADOS PARA DIECISEISAVOS</v>
      </c>
      <c r="I158" s="50"/>
      <c r="J158" s="794"/>
      <c r="K158" s="56" t="str">
        <f>Idiomas!$D$198&amp;"-"&amp;ROWS($L$130:L158)</f>
        <v>Dieciseisavofinalista-29</v>
      </c>
      <c r="L158" s="53"/>
      <c r="M158" s="55" t="str">
        <f ca="1">WORLDCUP!AF113</f>
        <v>3EFGIJ</v>
      </c>
      <c r="N158" s="25"/>
      <c r="O158" s="25"/>
      <c r="P158" s="25"/>
      <c r="Q158" s="25"/>
      <c r="R158" s="110"/>
      <c r="S158" s="74" t="s">
        <v>1262</v>
      </c>
      <c r="T158" s="73">
        <f t="shared" ca="1" si="387"/>
        <v>0</v>
      </c>
      <c r="U158" s="64"/>
      <c r="V158" s="74" t="s">
        <v>1262</v>
      </c>
      <c r="W158" s="73">
        <f t="shared" ca="1" si="388"/>
        <v>0</v>
      </c>
      <c r="X158" s="64"/>
      <c r="Y158" s="74" t="s">
        <v>1634</v>
      </c>
      <c r="Z158" s="73">
        <f t="shared" ca="1" si="389"/>
        <v>0</v>
      </c>
      <c r="AA158" s="64"/>
      <c r="AB158" s="74" t="s">
        <v>80</v>
      </c>
      <c r="AC158" s="73">
        <f t="shared" ca="1" si="390"/>
        <v>0</v>
      </c>
      <c r="AD158" s="64"/>
      <c r="AE158" s="74" t="s">
        <v>80</v>
      </c>
      <c r="AF158" s="73">
        <f t="shared" ca="1" si="391"/>
        <v>0</v>
      </c>
      <c r="AG158" s="64"/>
      <c r="AH158" s="74" t="s">
        <v>80</v>
      </c>
      <c r="AI158" s="73">
        <f t="shared" ca="1" si="392"/>
        <v>0</v>
      </c>
      <c r="AJ158" s="64"/>
      <c r="AK158" s="74" t="s">
        <v>1262</v>
      </c>
      <c r="AL158" s="73">
        <f t="shared" ca="1" si="393"/>
        <v>0</v>
      </c>
      <c r="AM158" s="64"/>
      <c r="AN158" s="74" t="s">
        <v>80</v>
      </c>
      <c r="AO158" s="73">
        <f t="shared" ca="1" si="394"/>
        <v>0</v>
      </c>
      <c r="AP158" s="64"/>
      <c r="AQ158" s="74" t="s">
        <v>80</v>
      </c>
      <c r="AR158" s="73">
        <f t="shared" ca="1" si="395"/>
        <v>0</v>
      </c>
      <c r="AS158" s="64"/>
      <c r="AT158" s="74" t="s">
        <v>1266</v>
      </c>
      <c r="AU158" s="73">
        <f t="shared" ca="1" si="396"/>
        <v>0</v>
      </c>
      <c r="AV158" s="64"/>
      <c r="AW158" s="74" t="s">
        <v>1633</v>
      </c>
      <c r="AX158" s="73">
        <f t="shared" ca="1" si="397"/>
        <v>0</v>
      </c>
      <c r="AY158" s="64"/>
      <c r="AZ158" s="74" t="s">
        <v>1558</v>
      </c>
      <c r="BA158" s="73">
        <f t="shared" ca="1" si="398"/>
        <v>0</v>
      </c>
      <c r="BB158" s="64"/>
      <c r="BC158" s="74" t="s">
        <v>1558</v>
      </c>
      <c r="BD158" s="73">
        <f t="shared" ca="1" si="399"/>
        <v>0</v>
      </c>
      <c r="BE158" s="64"/>
      <c r="BF158" s="74" t="s">
        <v>1262</v>
      </c>
      <c r="BG158" s="73">
        <f t="shared" ca="1" si="400"/>
        <v>0</v>
      </c>
      <c r="BH158" s="64"/>
      <c r="BI158" s="74" t="s">
        <v>1262</v>
      </c>
      <c r="BJ158" s="73">
        <f t="shared" ca="1" si="401"/>
        <v>0</v>
      </c>
      <c r="BK158" s="64"/>
      <c r="BL158" s="74" t="s">
        <v>1262</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10</v>
      </c>
      <c r="G159" s="445">
        <f ca="1">VLOOKUP(H159,Equipos!$Q$1:$R$25,2,0)</f>
        <v>19</v>
      </c>
      <c r="H159" s="447" t="str">
        <f>Idiomas!$D$137</f>
        <v>CLASIFICADOS PARA DIECISEISAVOS</v>
      </c>
      <c r="I159" s="50"/>
      <c r="J159" s="794"/>
      <c r="K159" s="56" t="str">
        <f>Idiomas!$D$198&amp;"-"&amp;ROWS($L$130:L159)</f>
        <v>Dieciseisavofinalista-30</v>
      </c>
      <c r="L159" s="53"/>
      <c r="M159" s="55" t="str">
        <f ca="1">WORLDCUP!AF114</f>
        <v>2G</v>
      </c>
      <c r="N159" s="25"/>
      <c r="O159" s="25"/>
      <c r="P159" s="25"/>
      <c r="Q159" s="25"/>
      <c r="R159" s="110"/>
      <c r="S159" s="74" t="s">
        <v>1550</v>
      </c>
      <c r="T159" s="73">
        <f t="shared" ca="1" si="387"/>
        <v>0</v>
      </c>
      <c r="U159" s="64"/>
      <c r="V159" s="74" t="s">
        <v>1550</v>
      </c>
      <c r="W159" s="73">
        <f t="shared" ca="1" si="388"/>
        <v>0</v>
      </c>
      <c r="X159" s="64"/>
      <c r="Y159" s="74" t="s">
        <v>1550</v>
      </c>
      <c r="Z159" s="73">
        <f t="shared" ca="1" si="389"/>
        <v>0</v>
      </c>
      <c r="AA159" s="64"/>
      <c r="AB159" s="74" t="s">
        <v>1550</v>
      </c>
      <c r="AC159" s="73">
        <f t="shared" ca="1" si="390"/>
        <v>0</v>
      </c>
      <c r="AD159" s="64"/>
      <c r="AE159" s="74" t="s">
        <v>1550</v>
      </c>
      <c r="AF159" s="73">
        <f t="shared" ca="1" si="391"/>
        <v>0</v>
      </c>
      <c r="AG159" s="64"/>
      <c r="AH159" s="74" t="s">
        <v>1262</v>
      </c>
      <c r="AI159" s="73">
        <f t="shared" ca="1" si="392"/>
        <v>0</v>
      </c>
      <c r="AJ159" s="64"/>
      <c r="AK159" s="74" t="s">
        <v>1550</v>
      </c>
      <c r="AL159" s="73">
        <f t="shared" ca="1" si="393"/>
        <v>0</v>
      </c>
      <c r="AM159" s="64"/>
      <c r="AN159" s="74" t="s">
        <v>1262</v>
      </c>
      <c r="AO159" s="73">
        <f t="shared" ca="1" si="394"/>
        <v>0</v>
      </c>
      <c r="AP159" s="64"/>
      <c r="AQ159" s="74" t="s">
        <v>1550</v>
      </c>
      <c r="AR159" s="73">
        <f t="shared" ca="1" si="395"/>
        <v>0</v>
      </c>
      <c r="AS159" s="64"/>
      <c r="AT159" s="74" t="s">
        <v>1550</v>
      </c>
      <c r="AU159" s="73">
        <f t="shared" ca="1" si="396"/>
        <v>0</v>
      </c>
      <c r="AV159" s="64"/>
      <c r="AW159" s="74" t="s">
        <v>1550</v>
      </c>
      <c r="AX159" s="73">
        <f t="shared" ca="1" si="397"/>
        <v>0</v>
      </c>
      <c r="AY159" s="64"/>
      <c r="AZ159" s="74" t="s">
        <v>1550</v>
      </c>
      <c r="BA159" s="73">
        <f t="shared" ca="1" si="398"/>
        <v>0</v>
      </c>
      <c r="BB159" s="64"/>
      <c r="BC159" s="74" t="s">
        <v>1550</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1262</v>
      </c>
      <c r="BS159" s="73">
        <f t="shared" ca="1" si="404"/>
        <v>0</v>
      </c>
      <c r="BT159" s="64"/>
      <c r="BU159" s="74" t="s">
        <v>1550</v>
      </c>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10</v>
      </c>
      <c r="G160" s="445">
        <f ca="1">VLOOKUP(H160,Equipos!$Q$1:$R$25,2,0)</f>
        <v>19</v>
      </c>
      <c r="H160" s="447" t="str">
        <f>Idiomas!$D$137</f>
        <v>CLASIFICADOS PARA DIECISEISAVOS</v>
      </c>
      <c r="I160" s="50"/>
      <c r="J160" s="794"/>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t="s">
        <v>1318</v>
      </c>
      <c r="AC160" s="73">
        <f t="shared" ca="1" si="390"/>
        <v>0</v>
      </c>
      <c r="AD160" s="64"/>
      <c r="AE160" s="74" t="s">
        <v>1552</v>
      </c>
      <c r="AF160" s="73">
        <f t="shared" ca="1" si="391"/>
        <v>0</v>
      </c>
      <c r="AG160" s="64"/>
      <c r="AH160" s="74" t="s">
        <v>1632</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1318</v>
      </c>
      <c r="BD160" s="73">
        <f t="shared" ca="1" si="399"/>
        <v>0</v>
      </c>
      <c r="BE160" s="64"/>
      <c r="BF160" s="74" t="s">
        <v>1318</v>
      </c>
      <c r="BG160" s="73">
        <f t="shared" ca="1" si="400"/>
        <v>0</v>
      </c>
      <c r="BH160" s="64"/>
      <c r="BI160" s="74" t="s">
        <v>1318</v>
      </c>
      <c r="BJ160" s="73">
        <f t="shared" ca="1" si="401"/>
        <v>0</v>
      </c>
      <c r="BK160" s="64"/>
      <c r="BL160" s="74" t="s">
        <v>1552</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10</v>
      </c>
      <c r="G161" s="445">
        <f ca="1">VLOOKUP(H161,Equipos!$Q$1:$R$25,2,0)</f>
        <v>19</v>
      </c>
      <c r="H161" s="447" t="str">
        <f>Idiomas!$D$137</f>
        <v>CLASIFICADOS PARA DIECISEISAVOS</v>
      </c>
      <c r="I161" s="50"/>
      <c r="J161" s="794"/>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1730</v>
      </c>
      <c r="W161" s="81">
        <f t="shared" ca="1" si="388"/>
        <v>0</v>
      </c>
      <c r="X161" s="64"/>
      <c r="Y161" s="80" t="s">
        <v>1551</v>
      </c>
      <c r="Z161" s="81">
        <f t="shared" ca="1" si="389"/>
        <v>0</v>
      </c>
      <c r="AA161" s="64"/>
      <c r="AB161" s="80" t="s">
        <v>1633</v>
      </c>
      <c r="AC161" s="81">
        <f t="shared" ca="1" si="390"/>
        <v>0</v>
      </c>
      <c r="AD161" s="64"/>
      <c r="AE161" s="80" t="s">
        <v>1633</v>
      </c>
      <c r="AF161" s="81">
        <f t="shared" ca="1" si="391"/>
        <v>0</v>
      </c>
      <c r="AG161" s="64"/>
      <c r="AH161" s="80" t="s">
        <v>1261</v>
      </c>
      <c r="AI161" s="81">
        <f t="shared" ca="1" si="392"/>
        <v>0</v>
      </c>
      <c r="AJ161" s="64"/>
      <c r="AK161" s="80" t="s">
        <v>1633</v>
      </c>
      <c r="AL161" s="81">
        <f t="shared" ca="1" si="393"/>
        <v>0</v>
      </c>
      <c r="AM161" s="64"/>
      <c r="AN161" s="80" t="s">
        <v>1551</v>
      </c>
      <c r="AO161" s="81">
        <f t="shared" ca="1" si="394"/>
        <v>0</v>
      </c>
      <c r="AP161" s="64"/>
      <c r="AQ161" s="80" t="s">
        <v>1633</v>
      </c>
      <c r="AR161" s="81">
        <f t="shared" ca="1" si="395"/>
        <v>0</v>
      </c>
      <c r="AS161" s="64"/>
      <c r="AT161" s="80" t="s">
        <v>76</v>
      </c>
      <c r="AU161" s="81">
        <f t="shared" ca="1" si="396"/>
        <v>0</v>
      </c>
      <c r="AV161" s="64"/>
      <c r="AW161" s="80" t="s">
        <v>1551</v>
      </c>
      <c r="AX161" s="81">
        <f t="shared" ca="1" si="397"/>
        <v>0</v>
      </c>
      <c r="AY161" s="64"/>
      <c r="AZ161" s="80" t="s">
        <v>1551</v>
      </c>
      <c r="BA161" s="81">
        <f t="shared" ca="1" si="398"/>
        <v>0</v>
      </c>
      <c r="BB161" s="64"/>
      <c r="BC161" s="80" t="s">
        <v>1551</v>
      </c>
      <c r="BD161" s="81">
        <f t="shared" ca="1" si="399"/>
        <v>0</v>
      </c>
      <c r="BE161" s="64"/>
      <c r="BF161" s="80" t="s">
        <v>1634</v>
      </c>
      <c r="BG161" s="81">
        <f t="shared" ca="1" si="400"/>
        <v>0</v>
      </c>
      <c r="BH161" s="64"/>
      <c r="BI161" s="80" t="s">
        <v>78</v>
      </c>
      <c r="BJ161" s="81">
        <f t="shared" ca="1" si="401"/>
        <v>0</v>
      </c>
      <c r="BK161" s="64"/>
      <c r="BL161" s="80" t="s">
        <v>1551</v>
      </c>
      <c r="BM161" s="81">
        <f t="shared" ca="1" si="402"/>
        <v>0</v>
      </c>
      <c r="BN161" s="64"/>
      <c r="BO161" s="80" t="s">
        <v>78</v>
      </c>
      <c r="BP161" s="81">
        <f t="shared" ca="1" si="403"/>
        <v>0</v>
      </c>
      <c r="BQ161" s="64"/>
      <c r="BR161" s="80" t="s">
        <v>1551</v>
      </c>
      <c r="BS161" s="81">
        <f t="shared" ca="1" si="404"/>
        <v>0</v>
      </c>
      <c r="BT161" s="64"/>
      <c r="BU161" s="80" t="s">
        <v>1633</v>
      </c>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320</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36</v>
      </c>
      <c r="G164" s="407">
        <f ca="1">VLOOKUP(H164,Equipos!$Q$1:$R$25,2,0)</f>
        <v>20</v>
      </c>
      <c r="H164" s="446" t="str">
        <f>Idiomas!$D$260</f>
        <v>Dieciseisavos de final</v>
      </c>
      <c r="I164" s="43">
        <v>2</v>
      </c>
      <c r="J164" s="794"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1956</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1956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2039</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2068</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2123</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2094</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2156</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2180</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2205</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2252</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2225</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2277</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2399</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2305</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2320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2123</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2366</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2381</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2381</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36</v>
      </c>
      <c r="G165" s="407">
        <f ca="1">VLOOKUP(H165,Equipos!$Q$1:$R$25,2,0)</f>
        <v>20</v>
      </c>
      <c r="H165" s="446" t="str">
        <f>Idiomas!$D$260</f>
        <v>Dieciseisavos de final</v>
      </c>
      <c r="I165" s="43">
        <v>2</v>
      </c>
      <c r="J165" s="794"/>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1957</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1999</v>
      </c>
      <c r="W165" s="77">
        <f t="shared" ca="1" si="437"/>
        <v>0</v>
      </c>
      <c r="X165" s="110"/>
      <c r="Y165" s="74" t="s">
        <v>1957</v>
      </c>
      <c r="Z165" s="77">
        <f t="shared" ca="1" si="437"/>
        <v>0</v>
      </c>
      <c r="AA165" s="110"/>
      <c r="AB165" s="80" t="s">
        <v>1999</v>
      </c>
      <c r="AC165" s="77">
        <f t="shared" ca="1" si="437"/>
        <v>0</v>
      </c>
      <c r="AD165" s="110"/>
      <c r="AE165" s="74" t="s">
        <v>2124</v>
      </c>
      <c r="AF165" s="77">
        <f t="shared" ca="1" si="437"/>
        <v>0</v>
      </c>
      <c r="AG165" s="110"/>
      <c r="AH165" s="74" t="s">
        <v>2095</v>
      </c>
      <c r="AI165" s="77">
        <f t="shared" ca="1" si="437"/>
        <v>0</v>
      </c>
      <c r="AJ165" s="110"/>
      <c r="AK165" s="74" t="s">
        <v>1999</v>
      </c>
      <c r="AL165" s="77">
        <f t="shared" ca="1" si="437"/>
        <v>0</v>
      </c>
      <c r="AM165" s="110"/>
      <c r="AN165" s="74" t="s">
        <v>2181</v>
      </c>
      <c r="AO165" s="77">
        <f t="shared" ca="1" si="437"/>
        <v>0</v>
      </c>
      <c r="AP165" s="110"/>
      <c r="AQ165" s="74" t="s">
        <v>1999</v>
      </c>
      <c r="AR165" s="77">
        <f t="shared" ca="1" si="437"/>
        <v>0</v>
      </c>
      <c r="AS165" s="110"/>
      <c r="AT165" s="74" t="s">
        <v>2253</v>
      </c>
      <c r="AU165" s="77">
        <f t="shared" ca="1" si="437"/>
        <v>0</v>
      </c>
      <c r="AV165" s="110"/>
      <c r="AW165" s="74" t="s">
        <v>2226</v>
      </c>
      <c r="AX165" s="77">
        <f t="shared" ca="1" si="437"/>
        <v>0</v>
      </c>
      <c r="AY165" s="110"/>
      <c r="AZ165" s="74" t="s">
        <v>2278</v>
      </c>
      <c r="BA165" s="77">
        <f t="shared" ca="1" si="437"/>
        <v>0</v>
      </c>
      <c r="BB165" s="110"/>
      <c r="BC165" s="74" t="s">
        <v>2400</v>
      </c>
      <c r="BD165" s="77">
        <f t="shared" ca="1" si="437"/>
        <v>0</v>
      </c>
      <c r="BE165" s="110"/>
      <c r="BF165" s="74" t="s">
        <v>2226</v>
      </c>
      <c r="BG165" s="77">
        <f t="shared" ca="1" si="437"/>
        <v>0</v>
      </c>
      <c r="BH165" s="110"/>
      <c r="BI165" s="74" t="s">
        <v>2321</v>
      </c>
      <c r="BJ165" s="77">
        <f t="shared" ca="1" si="437"/>
        <v>0</v>
      </c>
      <c r="BK165" s="110"/>
      <c r="BL165" s="708" t="s">
        <v>2181</v>
      </c>
      <c r="BM165" s="77">
        <f t="shared" ca="1" si="437"/>
        <v>0</v>
      </c>
      <c r="BN165" s="110"/>
      <c r="BO165" s="74" t="s">
        <v>1999</v>
      </c>
      <c r="BP165" s="77">
        <f t="shared" ca="1" si="437"/>
        <v>0</v>
      </c>
      <c r="BQ165" s="110"/>
      <c r="BR165" s="74" t="s">
        <v>2382</v>
      </c>
      <c r="BS165" s="77">
        <f t="shared" ca="1" si="437"/>
        <v>0</v>
      </c>
      <c r="BT165" s="110"/>
      <c r="BU165" s="74" t="s">
        <v>2181</v>
      </c>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36</v>
      </c>
      <c r="G166" s="407">
        <f ca="1">VLOOKUP(H166,Equipos!$Q$1:$R$25,2,0)</f>
        <v>20</v>
      </c>
      <c r="H166" s="446" t="str">
        <f>Idiomas!$D$260</f>
        <v>Dieciseisavos de final</v>
      </c>
      <c r="I166" s="43">
        <v>2</v>
      </c>
      <c r="J166" s="794"/>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1958</v>
      </c>
      <c r="T166" s="77">
        <f t="shared" ca="1" si="465"/>
        <v>0</v>
      </c>
      <c r="U166" s="110"/>
      <c r="V166" s="74" t="s">
        <v>2000</v>
      </c>
      <c r="W166" s="77">
        <f t="shared" ca="1" si="437"/>
        <v>0</v>
      </c>
      <c r="X166" s="110"/>
      <c r="Y166" s="74" t="s">
        <v>2040</v>
      </c>
      <c r="Z166" s="77">
        <f t="shared" ca="1" si="437"/>
        <v>0</v>
      </c>
      <c r="AA166" s="110"/>
      <c r="AB166" s="80" t="s">
        <v>2069</v>
      </c>
      <c r="AC166" s="77">
        <f t="shared" ca="1" si="437"/>
        <v>0</v>
      </c>
      <c r="AD166" s="110"/>
      <c r="AE166" s="74" t="s">
        <v>2125</v>
      </c>
      <c r="AF166" s="77">
        <f t="shared" ca="1" si="437"/>
        <v>0</v>
      </c>
      <c r="AG166" s="110"/>
      <c r="AH166" s="74" t="s">
        <v>2096</v>
      </c>
      <c r="AI166" s="77">
        <f t="shared" ca="1" si="437"/>
        <v>0</v>
      </c>
      <c r="AJ166" s="110"/>
      <c r="AK166" s="74" t="s">
        <v>2157</v>
      </c>
      <c r="AL166" s="77">
        <f t="shared" ca="1" si="437"/>
        <v>0</v>
      </c>
      <c r="AM166" s="110"/>
      <c r="AN166" s="74" t="s">
        <v>2182</v>
      </c>
      <c r="AO166" s="77">
        <f t="shared" ca="1" si="437"/>
        <v>0</v>
      </c>
      <c r="AP166" s="110"/>
      <c r="AQ166" s="74" t="s">
        <v>1958</v>
      </c>
      <c r="AR166" s="77">
        <f t="shared" ca="1" si="437"/>
        <v>0</v>
      </c>
      <c r="AS166" s="110"/>
      <c r="AT166" s="74" t="s">
        <v>2254</v>
      </c>
      <c r="AU166" s="77">
        <f t="shared" ca="1" si="437"/>
        <v>0</v>
      </c>
      <c r="AV166" s="110"/>
      <c r="AW166" s="74" t="s">
        <v>2227</v>
      </c>
      <c r="AX166" s="77">
        <f t="shared" ca="1" si="437"/>
        <v>0</v>
      </c>
      <c r="AY166" s="110"/>
      <c r="AZ166" s="74" t="s">
        <v>2279</v>
      </c>
      <c r="BA166" s="77">
        <f t="shared" ca="1" si="437"/>
        <v>0</v>
      </c>
      <c r="BB166" s="110"/>
      <c r="BC166" s="74" t="s">
        <v>2401</v>
      </c>
      <c r="BD166" s="77">
        <f t="shared" ca="1" si="437"/>
        <v>0</v>
      </c>
      <c r="BE166" s="110"/>
      <c r="BF166" s="74" t="s">
        <v>1958</v>
      </c>
      <c r="BG166" s="77">
        <f t="shared" ca="1" si="437"/>
        <v>0</v>
      </c>
      <c r="BH166" s="110"/>
      <c r="BI166" s="74" t="s">
        <v>2322</v>
      </c>
      <c r="BJ166" s="77">
        <f t="shared" ca="1" si="437"/>
        <v>0</v>
      </c>
      <c r="BK166" s="110"/>
      <c r="BL166" s="74" t="s">
        <v>2347</v>
      </c>
      <c r="BM166" s="77">
        <f t="shared" ca="1" si="437"/>
        <v>0</v>
      </c>
      <c r="BN166" s="110"/>
      <c r="BO166" s="74" t="s">
        <v>2322</v>
      </c>
      <c r="BP166" s="77">
        <f t="shared" ca="1" si="437"/>
        <v>0</v>
      </c>
      <c r="BQ166" s="110"/>
      <c r="BR166" s="74" t="s">
        <v>2383</v>
      </c>
      <c r="BS166" s="77">
        <f t="shared" ca="1" si="437"/>
        <v>0</v>
      </c>
      <c r="BT166" s="110"/>
      <c r="BU166" s="74" t="s">
        <v>2254</v>
      </c>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36</v>
      </c>
      <c r="G167" s="407">
        <f ca="1">VLOOKUP(H167,Equipos!$Q$1:$R$25,2,0)</f>
        <v>20</v>
      </c>
      <c r="H167" s="446" t="str">
        <f>Idiomas!$D$260</f>
        <v>Dieciseisavos de final</v>
      </c>
      <c r="I167" s="43">
        <v>2</v>
      </c>
      <c r="J167" s="794"/>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1959</v>
      </c>
      <c r="T167" s="77">
        <f t="shared" ca="1" si="465"/>
        <v>0</v>
      </c>
      <c r="U167" s="110"/>
      <c r="V167" s="74" t="s">
        <v>2001</v>
      </c>
      <c r="W167" s="77">
        <f t="shared" ca="1" si="437"/>
        <v>0</v>
      </c>
      <c r="X167" s="110"/>
      <c r="Y167" s="74" t="s">
        <v>2041</v>
      </c>
      <c r="Z167" s="77">
        <f t="shared" ca="1" si="437"/>
        <v>0</v>
      </c>
      <c r="AA167" s="110"/>
      <c r="AB167" s="80" t="s">
        <v>2041</v>
      </c>
      <c r="AC167" s="77">
        <f t="shared" ca="1" si="437"/>
        <v>0</v>
      </c>
      <c r="AD167" s="110"/>
      <c r="AE167" s="74" t="s">
        <v>2126</v>
      </c>
      <c r="AF167" s="77">
        <f t="shared" ca="1" si="437"/>
        <v>0</v>
      </c>
      <c r="AG167" s="110"/>
      <c r="AH167" s="74" t="s">
        <v>2041</v>
      </c>
      <c r="AI167" s="77">
        <f t="shared" ca="1" si="437"/>
        <v>0</v>
      </c>
      <c r="AJ167" s="110"/>
      <c r="AK167" s="74" t="s">
        <v>2158</v>
      </c>
      <c r="AL167" s="77">
        <f t="shared" ca="1" si="437"/>
        <v>0</v>
      </c>
      <c r="AM167" s="110"/>
      <c r="AN167" s="74" t="s">
        <v>2001</v>
      </c>
      <c r="AO167" s="77">
        <f t="shared" ca="1" si="437"/>
        <v>0</v>
      </c>
      <c r="AP167" s="110"/>
      <c r="AQ167" s="74" t="s">
        <v>2206</v>
      </c>
      <c r="AR167" s="77">
        <f t="shared" ca="1" si="437"/>
        <v>0</v>
      </c>
      <c r="AS167" s="110"/>
      <c r="AT167" s="74" t="s">
        <v>2255</v>
      </c>
      <c r="AU167" s="77">
        <f t="shared" ca="1" si="437"/>
        <v>0</v>
      </c>
      <c r="AV167" s="110"/>
      <c r="AW167" s="74" t="s">
        <v>2228</v>
      </c>
      <c r="AX167" s="77">
        <f t="shared" ca="1" si="437"/>
        <v>0</v>
      </c>
      <c r="AY167" s="110"/>
      <c r="AZ167" s="74" t="s">
        <v>2280</v>
      </c>
      <c r="BA167" s="77">
        <f t="shared" ca="1" si="437"/>
        <v>0</v>
      </c>
      <c r="BB167" s="110"/>
      <c r="BC167" s="74" t="s">
        <v>2402</v>
      </c>
      <c r="BD167" s="77">
        <f t="shared" ca="1" si="437"/>
        <v>0</v>
      </c>
      <c r="BE167" s="110"/>
      <c r="BF167" s="74" t="s">
        <v>2206</v>
      </c>
      <c r="BG167" s="77">
        <f t="shared" ca="1" si="437"/>
        <v>0</v>
      </c>
      <c r="BH167" s="110"/>
      <c r="BI167" s="74" t="s">
        <v>2323</v>
      </c>
      <c r="BJ167" s="77">
        <f t="shared" ca="1" si="437"/>
        <v>0</v>
      </c>
      <c r="BK167" s="110"/>
      <c r="BL167" s="74" t="s">
        <v>2041</v>
      </c>
      <c r="BM167" s="77">
        <f t="shared" ca="1" si="437"/>
        <v>0</v>
      </c>
      <c r="BN167" s="110"/>
      <c r="BO167" s="74" t="s">
        <v>2001</v>
      </c>
      <c r="BP167" s="77">
        <f t="shared" ca="1" si="437"/>
        <v>0</v>
      </c>
      <c r="BQ167" s="110"/>
      <c r="BR167" s="74" t="s">
        <v>2041</v>
      </c>
      <c r="BS167" s="77">
        <f t="shared" ca="1" si="437"/>
        <v>0</v>
      </c>
      <c r="BT167" s="110"/>
      <c r="BU167" s="74" t="s">
        <v>2001</v>
      </c>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36</v>
      </c>
      <c r="G168" s="407">
        <f ca="1">VLOOKUP(H168,Equipos!$Q$1:$R$25,2,0)</f>
        <v>20</v>
      </c>
      <c r="H168" s="446" t="str">
        <f>Idiomas!$D$260</f>
        <v>Dieciseisavos de final</v>
      </c>
      <c r="I168" s="43">
        <v>2</v>
      </c>
      <c r="J168" s="794"/>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1960</v>
      </c>
      <c r="T168" s="77">
        <f t="shared" ca="1" si="465"/>
        <v>0</v>
      </c>
      <c r="U168" s="110"/>
      <c r="V168" s="74" t="s">
        <v>1973</v>
      </c>
      <c r="W168" s="77">
        <f t="shared" ca="1" si="437"/>
        <v>0</v>
      </c>
      <c r="X168" s="110"/>
      <c r="Y168" s="74" t="s">
        <v>2042</v>
      </c>
      <c r="Z168" s="77">
        <f t="shared" ca="1" si="437"/>
        <v>0</v>
      </c>
      <c r="AA168" s="110"/>
      <c r="AB168" s="80" t="s">
        <v>2070</v>
      </c>
      <c r="AC168" s="77">
        <f t="shared" ca="1" si="437"/>
        <v>0</v>
      </c>
      <c r="AD168" s="110"/>
      <c r="AE168" s="74" t="s">
        <v>2127</v>
      </c>
      <c r="AF168" s="77">
        <f t="shared" ca="1" si="437"/>
        <v>0</v>
      </c>
      <c r="AG168" s="110"/>
      <c r="AH168" s="74" t="s">
        <v>2097</v>
      </c>
      <c r="AI168" s="77">
        <f t="shared" ca="1" si="437"/>
        <v>0</v>
      </c>
      <c r="AJ168" s="110"/>
      <c r="AK168" s="74" t="s">
        <v>2159</v>
      </c>
      <c r="AL168" s="77">
        <f t="shared" ca="1" si="437"/>
        <v>0</v>
      </c>
      <c r="AM168" s="110"/>
      <c r="AN168" s="74" t="s">
        <v>2070</v>
      </c>
      <c r="AO168" s="77">
        <f t="shared" ca="1" si="437"/>
        <v>0</v>
      </c>
      <c r="AP168" s="110"/>
      <c r="AQ168" s="74" t="s">
        <v>2042</v>
      </c>
      <c r="AR168" s="77">
        <f t="shared" ca="1" si="437"/>
        <v>0</v>
      </c>
      <c r="AS168" s="110"/>
      <c r="AT168" s="74" t="s">
        <v>2256</v>
      </c>
      <c r="AU168" s="77">
        <f t="shared" ca="1" si="437"/>
        <v>0</v>
      </c>
      <c r="AV168" s="110"/>
      <c r="AW168" s="74" t="s">
        <v>2229</v>
      </c>
      <c r="AX168" s="77">
        <f t="shared" ca="1" si="437"/>
        <v>0</v>
      </c>
      <c r="AY168" s="110"/>
      <c r="AZ168" s="74" t="s">
        <v>2281</v>
      </c>
      <c r="BA168" s="77">
        <f t="shared" ca="1" si="437"/>
        <v>0</v>
      </c>
      <c r="BB168" s="110"/>
      <c r="BC168" s="74" t="s">
        <v>2403</v>
      </c>
      <c r="BD168" s="77">
        <f t="shared" ca="1" si="437"/>
        <v>0</v>
      </c>
      <c r="BE168" s="110"/>
      <c r="BF168" s="74" t="s">
        <v>2306</v>
      </c>
      <c r="BG168" s="77">
        <f t="shared" ca="1" si="437"/>
        <v>0</v>
      </c>
      <c r="BH168" s="110"/>
      <c r="BI168" s="74" t="s">
        <v>2324</v>
      </c>
      <c r="BJ168" s="77">
        <f t="shared" ca="1" si="437"/>
        <v>0</v>
      </c>
      <c r="BK168" s="110"/>
      <c r="BL168" s="74" t="s">
        <v>2348</v>
      </c>
      <c r="BM168" s="77">
        <f t="shared" ca="1" si="437"/>
        <v>0</v>
      </c>
      <c r="BN168" s="110"/>
      <c r="BO168" s="74" t="s">
        <v>2367</v>
      </c>
      <c r="BP168" s="77">
        <f t="shared" ca="1" si="437"/>
        <v>0</v>
      </c>
      <c r="BQ168" s="110"/>
      <c r="BR168" s="74" t="s">
        <v>2384</v>
      </c>
      <c r="BS168" s="77">
        <f t="shared" ca="1" si="437"/>
        <v>0</v>
      </c>
      <c r="BT168" s="110"/>
      <c r="BU168" s="74" t="s">
        <v>2070</v>
      </c>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36</v>
      </c>
      <c r="G169" s="407">
        <f ca="1">VLOOKUP(H169,Equipos!$Q$1:$R$25,2,0)</f>
        <v>20</v>
      </c>
      <c r="H169" s="446" t="str">
        <f>Idiomas!$D$260</f>
        <v>Dieciseisavos de final</v>
      </c>
      <c r="I169" s="43">
        <v>2</v>
      </c>
      <c r="J169" s="794"/>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1961</v>
      </c>
      <c r="T169" s="77">
        <f t="shared" ca="1" si="465"/>
        <v>0</v>
      </c>
      <c r="U169" s="110"/>
      <c r="V169" s="74" t="s">
        <v>2002</v>
      </c>
      <c r="W169" s="77">
        <f t="shared" ca="1" si="437"/>
        <v>0</v>
      </c>
      <c r="X169" s="110"/>
      <c r="Y169" s="74" t="s">
        <v>2043</v>
      </c>
      <c r="Z169" s="77">
        <f t="shared" ca="1" si="437"/>
        <v>0</v>
      </c>
      <c r="AA169" s="110"/>
      <c r="AB169" s="80" t="s">
        <v>2071</v>
      </c>
      <c r="AC169" s="77">
        <f t="shared" ca="1" si="437"/>
        <v>0</v>
      </c>
      <c r="AD169" s="110"/>
      <c r="AE169" s="74" t="s">
        <v>2128</v>
      </c>
      <c r="AF169" s="77">
        <f t="shared" ca="1" si="437"/>
        <v>0</v>
      </c>
      <c r="AG169" s="110"/>
      <c r="AH169" s="74" t="s">
        <v>2098</v>
      </c>
      <c r="AI169" s="77">
        <f t="shared" ca="1" si="437"/>
        <v>0</v>
      </c>
      <c r="AJ169" s="110"/>
      <c r="AK169" s="74" t="s">
        <v>2160</v>
      </c>
      <c r="AL169" s="77">
        <f t="shared" ca="1" si="437"/>
        <v>0</v>
      </c>
      <c r="AM169" s="110"/>
      <c r="AN169" s="74" t="s">
        <v>2002</v>
      </c>
      <c r="AO169" s="77">
        <f t="shared" ca="1" si="437"/>
        <v>0</v>
      </c>
      <c r="AP169" s="110"/>
      <c r="AQ169" s="74" t="s">
        <v>2207</v>
      </c>
      <c r="AR169" s="77">
        <f t="shared" ca="1" si="437"/>
        <v>0</v>
      </c>
      <c r="AS169" s="110"/>
      <c r="AT169" s="74" t="s">
        <v>2043</v>
      </c>
      <c r="AU169" s="77">
        <f t="shared" ca="1" si="437"/>
        <v>0</v>
      </c>
      <c r="AV169" s="110"/>
      <c r="AW169" s="74" t="s">
        <v>2002</v>
      </c>
      <c r="AX169" s="77">
        <f t="shared" ca="1" si="437"/>
        <v>0</v>
      </c>
      <c r="AY169" s="110"/>
      <c r="AZ169" s="74" t="s">
        <v>2282</v>
      </c>
      <c r="BA169" s="77">
        <f t="shared" ca="1" si="437"/>
        <v>0</v>
      </c>
      <c r="BB169" s="110"/>
      <c r="BC169" s="74" t="s">
        <v>2404</v>
      </c>
      <c r="BD169" s="77">
        <f t="shared" ca="1" si="437"/>
        <v>0</v>
      </c>
      <c r="BE169" s="110"/>
      <c r="BF169" s="74" t="s">
        <v>2307</v>
      </c>
      <c r="BG169" s="77">
        <f t="shared" ca="1" si="437"/>
        <v>0</v>
      </c>
      <c r="BH169" s="110"/>
      <c r="BI169" s="74" t="s">
        <v>2325</v>
      </c>
      <c r="BJ169" s="77">
        <f t="shared" ca="1" si="437"/>
        <v>0</v>
      </c>
      <c r="BK169" s="110"/>
      <c r="BL169" s="74" t="s">
        <v>2160</v>
      </c>
      <c r="BM169" s="77">
        <f t="shared" ca="1" si="437"/>
        <v>0</v>
      </c>
      <c r="BN169" s="110"/>
      <c r="BO169" s="74" t="s">
        <v>2368</v>
      </c>
      <c r="BP169" s="77">
        <f t="shared" ca="1" si="437"/>
        <v>0</v>
      </c>
      <c r="BQ169" s="110"/>
      <c r="BR169" s="74" t="s">
        <v>2043</v>
      </c>
      <c r="BS169" s="77">
        <f t="shared" ca="1" si="437"/>
        <v>0</v>
      </c>
      <c r="BT169" s="110"/>
      <c r="BU169" s="74" t="s">
        <v>2002</v>
      </c>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36</v>
      </c>
      <c r="G170" s="407">
        <f ca="1">VLOOKUP(H170,Equipos!$Q$1:$R$25,2,0)</f>
        <v>20</v>
      </c>
      <c r="H170" s="446" t="str">
        <f>Idiomas!$D$260</f>
        <v>Dieciseisavos de final</v>
      </c>
      <c r="I170" s="43">
        <v>2</v>
      </c>
      <c r="J170" s="794"/>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1962</v>
      </c>
      <c r="T170" s="77">
        <f t="shared" ca="1" si="465"/>
        <v>0</v>
      </c>
      <c r="U170" s="110"/>
      <c r="V170" s="74" t="s">
        <v>2003</v>
      </c>
      <c r="W170" s="77">
        <f t="shared" ca="1" si="437"/>
        <v>0</v>
      </c>
      <c r="X170" s="110"/>
      <c r="Y170" s="74" t="s">
        <v>2044</v>
      </c>
      <c r="Z170" s="77">
        <f t="shared" ca="1" si="437"/>
        <v>0</v>
      </c>
      <c r="AA170" s="110"/>
      <c r="AB170" s="80" t="s">
        <v>2072</v>
      </c>
      <c r="AC170" s="77">
        <f t="shared" ca="1" si="437"/>
        <v>0</v>
      </c>
      <c r="AD170" s="110"/>
      <c r="AE170" s="74" t="s">
        <v>2129</v>
      </c>
      <c r="AF170" s="77">
        <f t="shared" ca="1" si="437"/>
        <v>0</v>
      </c>
      <c r="AG170" s="110"/>
      <c r="AH170" s="74" t="s">
        <v>2099</v>
      </c>
      <c r="AI170" s="77">
        <f t="shared" ca="1" si="437"/>
        <v>0</v>
      </c>
      <c r="AJ170" s="110"/>
      <c r="AK170" s="74" t="s">
        <v>2161</v>
      </c>
      <c r="AL170" s="77">
        <f t="shared" ca="1" si="437"/>
        <v>0</v>
      </c>
      <c r="AM170" s="110"/>
      <c r="AN170" s="74" t="s">
        <v>2183</v>
      </c>
      <c r="AO170" s="77">
        <f t="shared" ca="1" si="437"/>
        <v>0</v>
      </c>
      <c r="AP170" s="110"/>
      <c r="AQ170" s="74" t="s">
        <v>2208</v>
      </c>
      <c r="AR170" s="77">
        <f t="shared" ca="1" si="437"/>
        <v>0</v>
      </c>
      <c r="AS170" s="110"/>
      <c r="AT170" s="74" t="s">
        <v>2257</v>
      </c>
      <c r="AU170" s="77">
        <f t="shared" ca="1" si="437"/>
        <v>0</v>
      </c>
      <c r="AV170" s="110"/>
      <c r="AW170" s="74" t="s">
        <v>2072</v>
      </c>
      <c r="AX170" s="77">
        <f t="shared" ca="1" si="437"/>
        <v>0</v>
      </c>
      <c r="AY170" s="110"/>
      <c r="AZ170" s="74" t="s">
        <v>2283</v>
      </c>
      <c r="BA170" s="77">
        <f t="shared" ca="1" si="437"/>
        <v>0</v>
      </c>
      <c r="BB170" s="110"/>
      <c r="BC170" s="74" t="s">
        <v>2405</v>
      </c>
      <c r="BD170" s="77">
        <f t="shared" ca="1" si="437"/>
        <v>0</v>
      </c>
      <c r="BE170" s="110"/>
      <c r="BF170" s="74" t="s">
        <v>2308</v>
      </c>
      <c r="BG170" s="77">
        <f t="shared" ca="1" si="437"/>
        <v>0</v>
      </c>
      <c r="BH170" s="110"/>
      <c r="BI170" s="74" t="s">
        <v>2326</v>
      </c>
      <c r="BJ170" s="77">
        <f t="shared" ca="1" si="437"/>
        <v>0</v>
      </c>
      <c r="BK170" s="110"/>
      <c r="BL170" s="74" t="s">
        <v>2349</v>
      </c>
      <c r="BM170" s="77">
        <f t="shared" ca="1" si="437"/>
        <v>0</v>
      </c>
      <c r="BN170" s="110"/>
      <c r="BO170" s="74" t="s">
        <v>2369</v>
      </c>
      <c r="BP170" s="77">
        <f t="shared" ca="1" si="437"/>
        <v>0</v>
      </c>
      <c r="BQ170" s="110"/>
      <c r="BR170" s="74" t="s">
        <v>2385</v>
      </c>
      <c r="BS170" s="77">
        <f t="shared" ca="1" si="437"/>
        <v>0</v>
      </c>
      <c r="BT170" s="110"/>
      <c r="BU170" s="74" t="s">
        <v>2385</v>
      </c>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36</v>
      </c>
      <c r="G171" s="407">
        <f ca="1">VLOOKUP(H171,Equipos!$Q$1:$R$25,2,0)</f>
        <v>20</v>
      </c>
      <c r="H171" s="446" t="str">
        <f>Idiomas!$D$260</f>
        <v>Dieciseisavos de final</v>
      </c>
      <c r="I171" s="43">
        <v>2</v>
      </c>
      <c r="J171" s="794"/>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1963</v>
      </c>
      <c r="T171" s="77">
        <f t="shared" ca="1" si="465"/>
        <v>0</v>
      </c>
      <c r="U171" s="110"/>
      <c r="V171" s="74" t="s">
        <v>2004</v>
      </c>
      <c r="W171" s="77">
        <f t="shared" ca="1" si="437"/>
        <v>0</v>
      </c>
      <c r="X171" s="110"/>
      <c r="Y171" s="74" t="s">
        <v>2045</v>
      </c>
      <c r="Z171" s="77">
        <f t="shared" ca="1" si="437"/>
        <v>0</v>
      </c>
      <c r="AA171" s="110"/>
      <c r="AB171" s="80" t="s">
        <v>2073</v>
      </c>
      <c r="AC171" s="77">
        <f t="shared" ca="1" si="437"/>
        <v>0</v>
      </c>
      <c r="AD171" s="110"/>
      <c r="AE171" s="74" t="s">
        <v>2130</v>
      </c>
      <c r="AF171" s="77">
        <f t="shared" ca="1" si="437"/>
        <v>0</v>
      </c>
      <c r="AG171" s="110"/>
      <c r="AH171" s="74" t="s">
        <v>2100</v>
      </c>
      <c r="AI171" s="77">
        <f t="shared" ca="1" si="437"/>
        <v>0</v>
      </c>
      <c r="AJ171" s="110"/>
      <c r="AK171" s="74" t="s">
        <v>2162</v>
      </c>
      <c r="AL171" s="77">
        <f t="shared" ca="1" si="437"/>
        <v>0</v>
      </c>
      <c r="AM171" s="110"/>
      <c r="AN171" s="74" t="s">
        <v>2184</v>
      </c>
      <c r="AO171" s="77">
        <f t="shared" ca="1" si="437"/>
        <v>0</v>
      </c>
      <c r="AP171" s="110"/>
      <c r="AQ171" s="74" t="s">
        <v>2100</v>
      </c>
      <c r="AR171" s="77">
        <f t="shared" ca="1" si="437"/>
        <v>0</v>
      </c>
      <c r="AS171" s="110"/>
      <c r="AT171" s="74" t="s">
        <v>2258</v>
      </c>
      <c r="AU171" s="77">
        <f t="shared" ca="1" si="437"/>
        <v>0</v>
      </c>
      <c r="AV171" s="110"/>
      <c r="AW171" s="74" t="s">
        <v>2230</v>
      </c>
      <c r="AX171" s="77">
        <f t="shared" ca="1" si="437"/>
        <v>0</v>
      </c>
      <c r="AY171" s="110"/>
      <c r="AZ171" s="74" t="s">
        <v>2284</v>
      </c>
      <c r="BA171" s="77">
        <f t="shared" ca="1" si="437"/>
        <v>0</v>
      </c>
      <c r="BB171" s="110"/>
      <c r="BC171" s="74" t="s">
        <v>2327</v>
      </c>
      <c r="BD171" s="77">
        <f t="shared" ca="1" si="437"/>
        <v>0</v>
      </c>
      <c r="BE171" s="110"/>
      <c r="BF171" s="74" t="s">
        <v>2309</v>
      </c>
      <c r="BG171" s="77">
        <f t="shared" ca="1" si="437"/>
        <v>0</v>
      </c>
      <c r="BH171" s="110"/>
      <c r="BI171" s="74" t="s">
        <v>2327</v>
      </c>
      <c r="BJ171" s="77">
        <f t="shared" ca="1" si="437"/>
        <v>0</v>
      </c>
      <c r="BK171" s="110"/>
      <c r="BL171" s="74" t="s">
        <v>2130</v>
      </c>
      <c r="BM171" s="77">
        <f t="shared" ca="1" si="437"/>
        <v>0</v>
      </c>
      <c r="BN171" s="110"/>
      <c r="BO171" s="74" t="s">
        <v>2284</v>
      </c>
      <c r="BP171" s="77">
        <f t="shared" ca="1" si="437"/>
        <v>0</v>
      </c>
      <c r="BQ171" s="110"/>
      <c r="BR171" s="74" t="s">
        <v>2386</v>
      </c>
      <c r="BS171" s="77">
        <f t="shared" ca="1" si="437"/>
        <v>0</v>
      </c>
      <c r="BT171" s="110"/>
      <c r="BU171" s="74" t="s">
        <v>2386</v>
      </c>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36</v>
      </c>
      <c r="G172" s="407">
        <f ca="1">VLOOKUP(H172,Equipos!$Q$1:$R$25,2,0)</f>
        <v>20</v>
      </c>
      <c r="H172" s="446" t="str">
        <f>Idiomas!$D$260</f>
        <v>Dieciseisavos de final</v>
      </c>
      <c r="I172" s="43">
        <v>2</v>
      </c>
      <c r="J172" s="794"/>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1964</v>
      </c>
      <c r="T172" s="77">
        <f t="shared" ca="1" si="465"/>
        <v>0</v>
      </c>
      <c r="U172" s="110"/>
      <c r="V172" s="74" t="s">
        <v>2005</v>
      </c>
      <c r="W172" s="77">
        <f t="shared" ca="1" si="437"/>
        <v>0</v>
      </c>
      <c r="X172" s="110"/>
      <c r="Y172" s="74" t="s">
        <v>2046</v>
      </c>
      <c r="Z172" s="77">
        <f t="shared" ca="1" si="437"/>
        <v>0</v>
      </c>
      <c r="AA172" s="110"/>
      <c r="AB172" s="80" t="s">
        <v>2074</v>
      </c>
      <c r="AC172" s="77">
        <f t="shared" ca="1" si="437"/>
        <v>0</v>
      </c>
      <c r="AD172" s="110"/>
      <c r="AE172" s="74" t="s">
        <v>2131</v>
      </c>
      <c r="AF172" s="77">
        <f t="shared" ca="1" si="437"/>
        <v>0</v>
      </c>
      <c r="AG172" s="110"/>
      <c r="AH172" s="74" t="s">
        <v>2101</v>
      </c>
      <c r="AI172" s="77">
        <f t="shared" ca="1" si="437"/>
        <v>0</v>
      </c>
      <c r="AJ172" s="110"/>
      <c r="AK172" s="74" t="s">
        <v>2163</v>
      </c>
      <c r="AL172" s="77">
        <f t="shared" ca="1" si="437"/>
        <v>0</v>
      </c>
      <c r="AM172" s="110"/>
      <c r="AN172" s="74" t="s">
        <v>2185</v>
      </c>
      <c r="AO172" s="77">
        <f t="shared" ca="1" si="437"/>
        <v>0</v>
      </c>
      <c r="AP172" s="110"/>
      <c r="AQ172" s="74" t="s">
        <v>2163</v>
      </c>
      <c r="AR172" s="77">
        <f t="shared" ca="1" si="437"/>
        <v>0</v>
      </c>
      <c r="AS172" s="110"/>
      <c r="AT172" s="74" t="s">
        <v>2163</v>
      </c>
      <c r="AU172" s="77">
        <f t="shared" ca="1" si="437"/>
        <v>0</v>
      </c>
      <c r="AV172" s="110"/>
      <c r="AW172" s="74" t="s">
        <v>2231</v>
      </c>
      <c r="AX172" s="77">
        <f t="shared" ca="1" si="437"/>
        <v>0</v>
      </c>
      <c r="AY172" s="110"/>
      <c r="AZ172" s="74" t="s">
        <v>2101</v>
      </c>
      <c r="BA172" s="77">
        <f t="shared" ca="1" si="437"/>
        <v>0</v>
      </c>
      <c r="BB172" s="110"/>
      <c r="BC172" s="74" t="s">
        <v>2406</v>
      </c>
      <c r="BD172" s="77">
        <f t="shared" ca="1" si="437"/>
        <v>0</v>
      </c>
      <c r="BE172" s="110"/>
      <c r="BF172" s="74" t="s">
        <v>2101</v>
      </c>
      <c r="BG172" s="77">
        <f t="shared" ca="1" si="437"/>
        <v>0</v>
      </c>
      <c r="BH172" s="110"/>
      <c r="BI172" s="74" t="s">
        <v>2231</v>
      </c>
      <c r="BJ172" s="77">
        <f t="shared" ca="1" si="437"/>
        <v>0</v>
      </c>
      <c r="BK172" s="110"/>
      <c r="BL172" s="74" t="s">
        <v>2163</v>
      </c>
      <c r="BM172" s="77">
        <f t="shared" ca="1" si="437"/>
        <v>0</v>
      </c>
      <c r="BN172" s="110"/>
      <c r="BO172" s="74" t="s">
        <v>2370</v>
      </c>
      <c r="BP172" s="77">
        <f t="shared" ca="1" si="437"/>
        <v>0</v>
      </c>
      <c r="BQ172" s="110"/>
      <c r="BR172" s="74" t="s">
        <v>2046</v>
      </c>
      <c r="BS172" s="77">
        <f t="shared" ca="1" si="437"/>
        <v>0</v>
      </c>
      <c r="BT172" s="110"/>
      <c r="BU172" s="74" t="s">
        <v>2391</v>
      </c>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36</v>
      </c>
      <c r="G173" s="407">
        <f ca="1">VLOOKUP(H173,Equipos!$Q$1:$R$25,2,0)</f>
        <v>20</v>
      </c>
      <c r="H173" s="446" t="str">
        <f>Idiomas!$D$260</f>
        <v>Dieciseisavos de final</v>
      </c>
      <c r="I173" s="43">
        <v>2</v>
      </c>
      <c r="J173" s="794"/>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1965</v>
      </c>
      <c r="T173" s="77">
        <f t="shared" ca="1" si="465"/>
        <v>0</v>
      </c>
      <c r="U173" s="110"/>
      <c r="V173" s="74" t="s">
        <v>2006</v>
      </c>
      <c r="W173" s="77">
        <f t="shared" ca="1" si="437"/>
        <v>0</v>
      </c>
      <c r="X173" s="110"/>
      <c r="Y173" s="74" t="s">
        <v>2047</v>
      </c>
      <c r="Z173" s="77">
        <f t="shared" ca="1" si="437"/>
        <v>0</v>
      </c>
      <c r="AA173" s="110"/>
      <c r="AB173" s="74" t="s">
        <v>2075</v>
      </c>
      <c r="AC173" s="77">
        <f t="shared" ca="1" si="437"/>
        <v>0</v>
      </c>
      <c r="AD173" s="110"/>
      <c r="AE173" s="74" t="s">
        <v>2132</v>
      </c>
      <c r="AF173" s="77">
        <f t="shared" ca="1" si="437"/>
        <v>0</v>
      </c>
      <c r="AG173" s="110"/>
      <c r="AH173" s="74" t="s">
        <v>2006</v>
      </c>
      <c r="AI173" s="77">
        <f t="shared" ca="1" si="437"/>
        <v>0</v>
      </c>
      <c r="AJ173" s="110"/>
      <c r="AK173" s="74" t="s">
        <v>1965</v>
      </c>
      <c r="AL173" s="77">
        <f t="shared" ca="1" si="437"/>
        <v>0</v>
      </c>
      <c r="AM173" s="110"/>
      <c r="AN173" s="74" t="s">
        <v>2186</v>
      </c>
      <c r="AO173" s="77">
        <f t="shared" ca="1" si="437"/>
        <v>0</v>
      </c>
      <c r="AP173" s="110"/>
      <c r="AQ173" s="74" t="s">
        <v>2209</v>
      </c>
      <c r="AR173" s="77">
        <f t="shared" ca="1" si="437"/>
        <v>0</v>
      </c>
      <c r="AS173" s="110"/>
      <c r="AT173" s="74" t="s">
        <v>2259</v>
      </c>
      <c r="AU173" s="77">
        <f t="shared" ca="1" si="437"/>
        <v>0</v>
      </c>
      <c r="AV173" s="110"/>
      <c r="AW173" s="74" t="s">
        <v>2232</v>
      </c>
      <c r="AX173" s="77">
        <f t="shared" ca="1" si="437"/>
        <v>0</v>
      </c>
      <c r="AY173" s="110"/>
      <c r="AZ173" s="74" t="s">
        <v>2285</v>
      </c>
      <c r="BA173" s="77">
        <f t="shared" ca="1" si="437"/>
        <v>0</v>
      </c>
      <c r="BB173" s="110"/>
      <c r="BC173" s="74" t="s">
        <v>2047</v>
      </c>
      <c r="BD173" s="77">
        <f t="shared" ca="1" si="437"/>
        <v>0</v>
      </c>
      <c r="BE173" s="110"/>
      <c r="BF173" s="74" t="s">
        <v>2006</v>
      </c>
      <c r="BG173" s="77">
        <f t="shared" ca="1" si="437"/>
        <v>0</v>
      </c>
      <c r="BH173" s="110"/>
      <c r="BI173" s="74" t="s">
        <v>2328</v>
      </c>
      <c r="BJ173" s="77">
        <f t="shared" ca="1" si="437"/>
        <v>0</v>
      </c>
      <c r="BK173" s="110"/>
      <c r="BL173" s="74" t="s">
        <v>2350</v>
      </c>
      <c r="BM173" s="77">
        <f t="shared" ca="1" si="437"/>
        <v>0</v>
      </c>
      <c r="BN173" s="110"/>
      <c r="BO173" s="74" t="s">
        <v>2371</v>
      </c>
      <c r="BP173" s="77">
        <f t="shared" ca="1" si="437"/>
        <v>0</v>
      </c>
      <c r="BQ173" s="110"/>
      <c r="BR173" s="74" t="s">
        <v>2387</v>
      </c>
      <c r="BS173" s="77">
        <f t="shared" ca="1" si="437"/>
        <v>0</v>
      </c>
      <c r="BT173" s="110"/>
      <c r="BU173" s="74" t="s">
        <v>2387</v>
      </c>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36</v>
      </c>
      <c r="G174" s="407">
        <f ca="1">VLOOKUP(H174,Equipos!$Q$1:$R$25,2,0)</f>
        <v>20</v>
      </c>
      <c r="H174" s="446" t="str">
        <f>Idiomas!$D$260</f>
        <v>Dieciseisavos de final</v>
      </c>
      <c r="I174" s="43">
        <v>2</v>
      </c>
      <c r="J174" s="794"/>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1966</v>
      </c>
      <c r="T174" s="77">
        <f t="shared" ca="1" si="465"/>
        <v>0</v>
      </c>
      <c r="U174" s="110"/>
      <c r="V174" s="74" t="s">
        <v>2007</v>
      </c>
      <c r="W174" s="77">
        <f t="shared" ca="1" si="437"/>
        <v>0</v>
      </c>
      <c r="X174" s="110"/>
      <c r="Y174" s="74" t="s">
        <v>2048</v>
      </c>
      <c r="Z174" s="77">
        <f t="shared" ca="1" si="437"/>
        <v>0</v>
      </c>
      <c r="AA174" s="110"/>
      <c r="AB174" s="74" t="s">
        <v>2076</v>
      </c>
      <c r="AC174" s="77">
        <f t="shared" ca="1" si="437"/>
        <v>0</v>
      </c>
      <c r="AD174" s="110"/>
      <c r="AE174" s="74" t="s">
        <v>2133</v>
      </c>
      <c r="AF174" s="77">
        <f t="shared" ca="1" si="437"/>
        <v>0</v>
      </c>
      <c r="AG174" s="110"/>
      <c r="AH174" s="74" t="s">
        <v>2102</v>
      </c>
      <c r="AI174" s="77">
        <f t="shared" ca="1" si="437"/>
        <v>0</v>
      </c>
      <c r="AJ174" s="110"/>
      <c r="AK174" s="74" t="s">
        <v>2007</v>
      </c>
      <c r="AL174" s="77">
        <f t="shared" ca="1" si="437"/>
        <v>0</v>
      </c>
      <c r="AM174" s="110"/>
      <c r="AN174" s="74" t="s">
        <v>2102</v>
      </c>
      <c r="AO174" s="77">
        <f t="shared" ca="1" si="437"/>
        <v>0</v>
      </c>
      <c r="AP174" s="110"/>
      <c r="AQ174" s="74" t="s">
        <v>2076</v>
      </c>
      <c r="AR174" s="77">
        <f t="shared" ca="1" si="437"/>
        <v>0</v>
      </c>
      <c r="AS174" s="110"/>
      <c r="AT174" s="74" t="s">
        <v>2102</v>
      </c>
      <c r="AU174" s="77">
        <f t="shared" ca="1" si="437"/>
        <v>0</v>
      </c>
      <c r="AV174" s="110"/>
      <c r="AW174" s="74" t="s">
        <v>2007</v>
      </c>
      <c r="AX174" s="77">
        <f t="shared" ca="1" si="437"/>
        <v>0</v>
      </c>
      <c r="AY174" s="110"/>
      <c r="AZ174" s="74" t="s">
        <v>2286</v>
      </c>
      <c r="BA174" s="77">
        <f t="shared" ca="1" si="437"/>
        <v>0</v>
      </c>
      <c r="BB174" s="110"/>
      <c r="BC174" s="74" t="s">
        <v>2007</v>
      </c>
      <c r="BD174" s="77">
        <f t="shared" ca="1" si="437"/>
        <v>0</v>
      </c>
      <c r="BE174" s="110"/>
      <c r="BF174" s="74" t="s">
        <v>2310</v>
      </c>
      <c r="BG174" s="77">
        <f t="shared" ca="1" si="437"/>
        <v>0</v>
      </c>
      <c r="BH174" s="110"/>
      <c r="BI174" s="74" t="s">
        <v>2076</v>
      </c>
      <c r="BJ174" s="77">
        <f t="shared" ca="1" si="437"/>
        <v>0</v>
      </c>
      <c r="BK174" s="110"/>
      <c r="BL174" s="74" t="s">
        <v>2351</v>
      </c>
      <c r="BM174" s="77">
        <f t="shared" ca="1" si="437"/>
        <v>0</v>
      </c>
      <c r="BN174" s="110"/>
      <c r="BO174" s="74" t="s">
        <v>2310</v>
      </c>
      <c r="BP174" s="77">
        <f t="shared" ca="1" si="437"/>
        <v>0</v>
      </c>
      <c r="BQ174" s="110"/>
      <c r="BR174" s="74" t="s">
        <v>2007</v>
      </c>
      <c r="BS174" s="77">
        <f t="shared" ca="1" si="437"/>
        <v>0</v>
      </c>
      <c r="BT174" s="110"/>
      <c r="BU174" s="74" t="s">
        <v>2048</v>
      </c>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36</v>
      </c>
      <c r="G175" s="407">
        <f ca="1">VLOOKUP(H175,Equipos!$Q$1:$R$25,2,0)</f>
        <v>20</v>
      </c>
      <c r="H175" s="446" t="str">
        <f>Idiomas!$D$260</f>
        <v>Dieciseisavos de final</v>
      </c>
      <c r="I175" s="43">
        <v>2</v>
      </c>
      <c r="J175" s="794"/>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1967</v>
      </c>
      <c r="T175" s="77">
        <f t="shared" ca="1" si="465"/>
        <v>0</v>
      </c>
      <c r="U175" s="110"/>
      <c r="V175" s="74" t="s">
        <v>1967</v>
      </c>
      <c r="W175" s="77">
        <f t="shared" ca="1" si="437"/>
        <v>0</v>
      </c>
      <c r="X175" s="110"/>
      <c r="Y175" s="74" t="s">
        <v>2049</v>
      </c>
      <c r="Z175" s="77">
        <f t="shared" ca="1" si="437"/>
        <v>0</v>
      </c>
      <c r="AA175" s="110"/>
      <c r="AB175" s="74" t="s">
        <v>2049</v>
      </c>
      <c r="AC175" s="77">
        <f t="shared" ca="1" si="437"/>
        <v>0</v>
      </c>
      <c r="AD175" s="110"/>
      <c r="AE175" s="74" t="s">
        <v>2134</v>
      </c>
      <c r="AF175" s="77">
        <f t="shared" ca="1" si="437"/>
        <v>0</v>
      </c>
      <c r="AG175" s="110"/>
      <c r="AH175" s="74" t="s">
        <v>2103</v>
      </c>
      <c r="AI175" s="77">
        <f t="shared" ca="1" si="437"/>
        <v>0</v>
      </c>
      <c r="AJ175" s="110"/>
      <c r="AK175" s="74" t="s">
        <v>2049</v>
      </c>
      <c r="AL175" s="77">
        <f t="shared" ca="1" si="437"/>
        <v>0</v>
      </c>
      <c r="AM175" s="110"/>
      <c r="AN175" s="74" t="s">
        <v>2103</v>
      </c>
      <c r="AO175" s="77">
        <f t="shared" ca="1" si="437"/>
        <v>0</v>
      </c>
      <c r="AP175" s="110"/>
      <c r="AQ175" s="74" t="s">
        <v>2210</v>
      </c>
      <c r="AR175" s="77">
        <f t="shared" ca="1" si="437"/>
        <v>0</v>
      </c>
      <c r="AS175" s="110"/>
      <c r="AT175" s="74" t="s">
        <v>2233</v>
      </c>
      <c r="AU175" s="77">
        <f t="shared" ca="1" si="437"/>
        <v>0</v>
      </c>
      <c r="AV175" s="110"/>
      <c r="AW175" s="74" t="s">
        <v>2233</v>
      </c>
      <c r="AX175" s="77">
        <f t="shared" ca="1" si="437"/>
        <v>0</v>
      </c>
      <c r="AY175" s="110"/>
      <c r="AZ175" s="74" t="s">
        <v>1967</v>
      </c>
      <c r="BA175" s="77">
        <f t="shared" ca="1" si="437"/>
        <v>0</v>
      </c>
      <c r="BB175" s="110"/>
      <c r="BC175" s="74" t="s">
        <v>2352</v>
      </c>
      <c r="BD175" s="77">
        <f t="shared" ca="1" si="437"/>
        <v>0</v>
      </c>
      <c r="BE175" s="110"/>
      <c r="BF175" s="74" t="s">
        <v>1967</v>
      </c>
      <c r="BG175" s="77">
        <f t="shared" ca="1" si="437"/>
        <v>0</v>
      </c>
      <c r="BH175" s="110"/>
      <c r="BI175" s="74" t="s">
        <v>2329</v>
      </c>
      <c r="BJ175" s="77">
        <f t="shared" ca="1" si="437"/>
        <v>0</v>
      </c>
      <c r="BK175" s="110"/>
      <c r="BL175" s="74" t="s">
        <v>2352</v>
      </c>
      <c r="BM175" s="77">
        <f t="shared" ca="1" si="437"/>
        <v>0</v>
      </c>
      <c r="BN175" s="110"/>
      <c r="BO175" s="74" t="s">
        <v>2372</v>
      </c>
      <c r="BP175" s="77">
        <f t="shared" ca="1" si="437"/>
        <v>0</v>
      </c>
      <c r="BQ175" s="110"/>
      <c r="BR175" s="74" t="s">
        <v>1967</v>
      </c>
      <c r="BS175" s="77">
        <f t="shared" ca="1" si="437"/>
        <v>0</v>
      </c>
      <c r="BT175" s="110"/>
      <c r="BU175" s="74" t="s">
        <v>1967</v>
      </c>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36</v>
      </c>
      <c r="G176" s="407">
        <f ca="1">VLOOKUP(H176,Equipos!$Q$1:$R$25,2,0)</f>
        <v>20</v>
      </c>
      <c r="H176" s="446" t="str">
        <f>Idiomas!$D$260</f>
        <v>Dieciseisavos de final</v>
      </c>
      <c r="I176" s="43">
        <v>2</v>
      </c>
      <c r="J176" s="794"/>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1968</v>
      </c>
      <c r="T176" s="77">
        <f t="shared" ca="1" si="465"/>
        <v>0</v>
      </c>
      <c r="U176" s="110"/>
      <c r="V176" s="74" t="s">
        <v>1968</v>
      </c>
      <c r="W176" s="77">
        <f t="shared" ca="1" si="437"/>
        <v>0</v>
      </c>
      <c r="X176" s="110"/>
      <c r="Y176" s="74" t="s">
        <v>2050</v>
      </c>
      <c r="Z176" s="77">
        <f t="shared" ca="1" si="437"/>
        <v>0</v>
      </c>
      <c r="AA176" s="110"/>
      <c r="AB176" s="74" t="s">
        <v>2077</v>
      </c>
      <c r="AC176" s="77">
        <f t="shared" ca="1" si="437"/>
        <v>0</v>
      </c>
      <c r="AD176" s="110"/>
      <c r="AE176" s="74" t="s">
        <v>2135</v>
      </c>
      <c r="AF176" s="77">
        <f t="shared" ca="1" si="437"/>
        <v>0</v>
      </c>
      <c r="AG176" s="110"/>
      <c r="AH176" s="74" t="s">
        <v>2104</v>
      </c>
      <c r="AI176" s="77">
        <f t="shared" ca="1" si="437"/>
        <v>0</v>
      </c>
      <c r="AJ176" s="110"/>
      <c r="AK176" s="74" t="s">
        <v>2164</v>
      </c>
      <c r="AL176" s="77">
        <f t="shared" ca="1" si="437"/>
        <v>0</v>
      </c>
      <c r="AM176" s="110"/>
      <c r="AN176" s="74" t="s">
        <v>2135</v>
      </c>
      <c r="AO176" s="77">
        <f t="shared" ca="1" si="437"/>
        <v>0</v>
      </c>
      <c r="AP176" s="110"/>
      <c r="AQ176" s="74" t="s">
        <v>2211</v>
      </c>
      <c r="AR176" s="77">
        <f t="shared" ca="1" si="437"/>
        <v>0</v>
      </c>
      <c r="AS176" s="110"/>
      <c r="AT176" s="74" t="s">
        <v>2260</v>
      </c>
      <c r="AU176" s="77">
        <f t="shared" ca="1" si="437"/>
        <v>0</v>
      </c>
      <c r="AV176" s="110"/>
      <c r="AW176" s="74" t="s">
        <v>2234</v>
      </c>
      <c r="AX176" s="77">
        <f t="shared" ca="1" si="437"/>
        <v>0</v>
      </c>
      <c r="AY176" s="110"/>
      <c r="AZ176" s="74" t="s">
        <v>2287</v>
      </c>
      <c r="BA176" s="77">
        <f t="shared" ca="1" si="437"/>
        <v>0</v>
      </c>
      <c r="BB176" s="110"/>
      <c r="BC176" s="74" t="s">
        <v>2407</v>
      </c>
      <c r="BD176" s="77">
        <f t="shared" ca="1" si="437"/>
        <v>0</v>
      </c>
      <c r="BE176" s="110"/>
      <c r="BF176" s="74" t="s">
        <v>2311</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2311</v>
      </c>
      <c r="BJ176" s="77">
        <f t="shared" ca="1" si="466"/>
        <v>0</v>
      </c>
      <c r="BK176" s="110"/>
      <c r="BL176" s="74" t="s">
        <v>2353</v>
      </c>
      <c r="BM176" s="77">
        <f t="shared" ca="1" si="466"/>
        <v>0</v>
      </c>
      <c r="BN176" s="110"/>
      <c r="BO176" s="74" t="s">
        <v>1968</v>
      </c>
      <c r="BP176" s="77">
        <f t="shared" ca="1" si="466"/>
        <v>0</v>
      </c>
      <c r="BQ176" s="110"/>
      <c r="BR176" s="74" t="s">
        <v>2388</v>
      </c>
      <c r="BS176" s="77">
        <f t="shared" ca="1" si="466"/>
        <v>0</v>
      </c>
      <c r="BT176" s="110"/>
      <c r="BU176" s="74" t="s">
        <v>2392</v>
      </c>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36</v>
      </c>
      <c r="G177" s="407">
        <f ca="1">VLOOKUP(H177,Equipos!$Q$1:$R$25,2,0)</f>
        <v>20</v>
      </c>
      <c r="H177" s="446" t="str">
        <f>Idiomas!$D$260</f>
        <v>Dieciseisavos de final</v>
      </c>
      <c r="I177" s="43">
        <v>2</v>
      </c>
      <c r="J177" s="794"/>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1969</v>
      </c>
      <c r="T177" s="77">
        <f t="shared" ca="1" si="465"/>
        <v>0</v>
      </c>
      <c r="U177" s="110"/>
      <c r="V177" s="74" t="s">
        <v>2008</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2051</v>
      </c>
      <c r="Z177" s="77">
        <f t="shared" ca="1" si="467"/>
        <v>0</v>
      </c>
      <c r="AA177" s="110"/>
      <c r="AB177" s="74" t="s">
        <v>2078</v>
      </c>
      <c r="AC177" s="77">
        <f t="shared" ca="1" si="467"/>
        <v>0</v>
      </c>
      <c r="AD177" s="110"/>
      <c r="AE177" s="74" t="s">
        <v>2136</v>
      </c>
      <c r="AF177" s="77">
        <f t="shared" ca="1" si="467"/>
        <v>0</v>
      </c>
      <c r="AG177" s="110"/>
      <c r="AH177" s="74" t="s">
        <v>2105</v>
      </c>
      <c r="AI177" s="77">
        <f t="shared" ca="1" si="467"/>
        <v>0</v>
      </c>
      <c r="AJ177" s="110"/>
      <c r="AK177" s="74" t="s">
        <v>2165</v>
      </c>
      <c r="AL177" s="77">
        <f t="shared" ca="1" si="467"/>
        <v>0</v>
      </c>
      <c r="AM177" s="110"/>
      <c r="AN177" s="74" t="s">
        <v>2187</v>
      </c>
      <c r="AO177" s="77">
        <f t="shared" ca="1" si="467"/>
        <v>0</v>
      </c>
      <c r="AP177" s="110"/>
      <c r="AQ177" s="74" t="s">
        <v>2212</v>
      </c>
      <c r="AR177" s="77">
        <f t="shared" ca="1" si="467"/>
        <v>0</v>
      </c>
      <c r="AS177" s="110"/>
      <c r="AT177" s="74" t="s">
        <v>2261</v>
      </c>
      <c r="AU177" s="77">
        <f t="shared" ca="1" si="467"/>
        <v>0</v>
      </c>
      <c r="AV177" s="110"/>
      <c r="AW177" s="74" t="s">
        <v>2235</v>
      </c>
      <c r="AX177" s="77">
        <f t="shared" ca="1" si="467"/>
        <v>0</v>
      </c>
      <c r="AY177" s="110"/>
      <c r="AZ177" s="74" t="s">
        <v>2165</v>
      </c>
      <c r="BA177" s="77">
        <f t="shared" ca="1" si="467"/>
        <v>0</v>
      </c>
      <c r="BB177" s="110"/>
      <c r="BC177" s="74" t="s">
        <v>2408</v>
      </c>
      <c r="BD177" s="77">
        <f t="shared" ca="1" si="467"/>
        <v>0</v>
      </c>
      <c r="BE177" s="110"/>
      <c r="BF177" s="74" t="s">
        <v>2008</v>
      </c>
      <c r="BG177" s="77">
        <f t="shared" ca="1" si="467"/>
        <v>0</v>
      </c>
      <c r="BH177" s="110"/>
      <c r="BI177" s="74" t="s">
        <v>2212</v>
      </c>
      <c r="BJ177" s="77">
        <f t="shared" ca="1" si="467"/>
        <v>0</v>
      </c>
      <c r="BK177" s="110"/>
      <c r="BL177" s="74" t="s">
        <v>2136</v>
      </c>
      <c r="BM177" s="77">
        <f t="shared" ca="1" si="467"/>
        <v>0</v>
      </c>
      <c r="BN177" s="110"/>
      <c r="BO177" s="74" t="s">
        <v>2373</v>
      </c>
      <c r="BP177" s="77">
        <f t="shared" ca="1" si="467"/>
        <v>0</v>
      </c>
      <c r="BQ177" s="110"/>
      <c r="BR177" s="74" t="s">
        <v>2389</v>
      </c>
      <c r="BS177" s="77">
        <f t="shared" ca="1" si="467"/>
        <v>0</v>
      </c>
      <c r="BT177" s="110"/>
      <c r="BU177" s="74" t="s">
        <v>2008</v>
      </c>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36</v>
      </c>
      <c r="G178" s="407">
        <f ca="1">VLOOKUP(H178,Equipos!$Q$1:$R$25,2,0)</f>
        <v>20</v>
      </c>
      <c r="H178" s="446" t="str">
        <f>Idiomas!$D$260</f>
        <v>Dieciseisavos de final</v>
      </c>
      <c r="I178" s="43">
        <v>2</v>
      </c>
      <c r="J178" s="794"/>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1970</v>
      </c>
      <c r="T178" s="77">
        <f t="shared" ca="1" si="465"/>
        <v>0</v>
      </c>
      <c r="U178" s="110"/>
      <c r="V178" s="74" t="s">
        <v>2009</v>
      </c>
      <c r="W178" s="77">
        <f t="shared" ca="1" si="467"/>
        <v>0</v>
      </c>
      <c r="X178" s="110"/>
      <c r="Y178" s="74" t="s">
        <v>1970</v>
      </c>
      <c r="Z178" s="77">
        <f t="shared" ca="1" si="467"/>
        <v>0</v>
      </c>
      <c r="AA178" s="110"/>
      <c r="AB178" s="74" t="s">
        <v>1970</v>
      </c>
      <c r="AC178" s="77">
        <f t="shared" ca="1" si="467"/>
        <v>0</v>
      </c>
      <c r="AD178" s="110"/>
      <c r="AE178" s="74" t="s">
        <v>2137</v>
      </c>
      <c r="AF178" s="77">
        <f t="shared" ca="1" si="467"/>
        <v>0</v>
      </c>
      <c r="AG178" s="110"/>
      <c r="AH178" s="74" t="s">
        <v>2106</v>
      </c>
      <c r="AI178" s="77">
        <f t="shared" ca="1" si="467"/>
        <v>0</v>
      </c>
      <c r="AJ178" s="110"/>
      <c r="AK178" s="74" t="s">
        <v>2166</v>
      </c>
      <c r="AL178" s="77">
        <f t="shared" ca="1" si="467"/>
        <v>0</v>
      </c>
      <c r="AM178" s="110"/>
      <c r="AN178" s="74" t="s">
        <v>2188</v>
      </c>
      <c r="AO178" s="77">
        <f t="shared" ca="1" si="467"/>
        <v>0</v>
      </c>
      <c r="AP178" s="110"/>
      <c r="AQ178" s="74" t="s">
        <v>2213</v>
      </c>
      <c r="AR178" s="77">
        <f t="shared" ca="1" si="467"/>
        <v>0</v>
      </c>
      <c r="AS178" s="110"/>
      <c r="AT178" s="74" t="s">
        <v>1970</v>
      </c>
      <c r="AU178" s="77">
        <f t="shared" ca="1" si="467"/>
        <v>0</v>
      </c>
      <c r="AV178" s="110"/>
      <c r="AW178" s="74" t="s">
        <v>2236</v>
      </c>
      <c r="AX178" s="77">
        <f t="shared" ca="1" si="467"/>
        <v>0</v>
      </c>
      <c r="AY178" s="110"/>
      <c r="AZ178" s="74" t="s">
        <v>2288</v>
      </c>
      <c r="BA178" s="77">
        <f t="shared" ca="1" si="467"/>
        <v>0</v>
      </c>
      <c r="BB178" s="110"/>
      <c r="BC178" s="74" t="s">
        <v>2236</v>
      </c>
      <c r="BD178" s="77">
        <f t="shared" ca="1" si="467"/>
        <v>0</v>
      </c>
      <c r="BE178" s="110"/>
      <c r="BF178" s="74" t="s">
        <v>1970</v>
      </c>
      <c r="BG178" s="77">
        <f t="shared" ca="1" si="467"/>
        <v>0</v>
      </c>
      <c r="BH178" s="110"/>
      <c r="BI178" s="74" t="s">
        <v>2236</v>
      </c>
      <c r="BJ178" s="77">
        <f t="shared" ca="1" si="467"/>
        <v>0</v>
      </c>
      <c r="BK178" s="110"/>
      <c r="BL178" s="74" t="s">
        <v>2354</v>
      </c>
      <c r="BM178" s="77">
        <f t="shared" ca="1" si="467"/>
        <v>0</v>
      </c>
      <c r="BN178" s="110"/>
      <c r="BO178" s="74" t="s">
        <v>2009</v>
      </c>
      <c r="BP178" s="77">
        <f t="shared" ca="1" si="467"/>
        <v>0</v>
      </c>
      <c r="BQ178" s="110"/>
      <c r="BR178" s="74" t="s">
        <v>1970</v>
      </c>
      <c r="BS178" s="77">
        <f t="shared" ca="1" si="467"/>
        <v>0</v>
      </c>
      <c r="BT178" s="110"/>
      <c r="BU178" s="74" t="s">
        <v>1970</v>
      </c>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36</v>
      </c>
      <c r="G179" s="407">
        <f ca="1">VLOOKUP(H179,Equipos!$Q$1:$R$25,2,0)</f>
        <v>20</v>
      </c>
      <c r="H179" s="446" t="str">
        <f>Idiomas!$D$260</f>
        <v>Dieciseisavos de final</v>
      </c>
      <c r="I179" s="43">
        <v>2</v>
      </c>
      <c r="J179" s="794"/>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1971</v>
      </c>
      <c r="T179" s="81">
        <f t="shared" ca="1" si="465"/>
        <v>0</v>
      </c>
      <c r="U179" s="110"/>
      <c r="V179" s="80" t="s">
        <v>2010</v>
      </c>
      <c r="W179" s="81">
        <f t="shared" ca="1" si="467"/>
        <v>0</v>
      </c>
      <c r="X179" s="110"/>
      <c r="Y179" s="80" t="s">
        <v>2052</v>
      </c>
      <c r="Z179" s="81">
        <f t="shared" ca="1" si="467"/>
        <v>0</v>
      </c>
      <c r="AA179" s="110"/>
      <c r="AB179" s="80" t="s">
        <v>2079</v>
      </c>
      <c r="AC179" s="81">
        <f t="shared" ca="1" si="467"/>
        <v>0</v>
      </c>
      <c r="AD179" s="110"/>
      <c r="AE179" s="80" t="s">
        <v>2138</v>
      </c>
      <c r="AF179" s="81">
        <f t="shared" ca="1" si="467"/>
        <v>0</v>
      </c>
      <c r="AG179" s="110"/>
      <c r="AH179" s="80" t="s">
        <v>2107</v>
      </c>
      <c r="AI179" s="81">
        <f t="shared" ca="1" si="467"/>
        <v>0</v>
      </c>
      <c r="AJ179" s="110"/>
      <c r="AK179" s="80" t="s">
        <v>2167</v>
      </c>
      <c r="AL179" s="81">
        <f t="shared" ca="1" si="467"/>
        <v>0</v>
      </c>
      <c r="AM179" s="110"/>
      <c r="AN179" s="80" t="s">
        <v>2189</v>
      </c>
      <c r="AO179" s="81">
        <f t="shared" ca="1" si="467"/>
        <v>0</v>
      </c>
      <c r="AP179" s="110"/>
      <c r="AQ179" s="80" t="s">
        <v>2079</v>
      </c>
      <c r="AR179" s="81">
        <f t="shared" ca="1" si="467"/>
        <v>0</v>
      </c>
      <c r="AS179" s="110"/>
      <c r="AT179" s="80" t="s">
        <v>2262</v>
      </c>
      <c r="AU179" s="81">
        <f t="shared" ca="1" si="467"/>
        <v>0</v>
      </c>
      <c r="AV179" s="110"/>
      <c r="AW179" s="80" t="s">
        <v>2189</v>
      </c>
      <c r="AX179" s="81">
        <f t="shared" ca="1" si="467"/>
        <v>0</v>
      </c>
      <c r="AY179" s="110"/>
      <c r="AZ179" s="80" t="s">
        <v>2052</v>
      </c>
      <c r="BA179" s="81">
        <f t="shared" ca="1" si="467"/>
        <v>0</v>
      </c>
      <c r="BB179" s="110"/>
      <c r="BC179" s="80" t="s">
        <v>2052</v>
      </c>
      <c r="BD179" s="81">
        <f t="shared" ca="1" si="467"/>
        <v>0</v>
      </c>
      <c r="BE179" s="110"/>
      <c r="BF179" s="80" t="s">
        <v>2312</v>
      </c>
      <c r="BG179" s="81">
        <f t="shared" ca="1" si="467"/>
        <v>0</v>
      </c>
      <c r="BH179" s="110"/>
      <c r="BI179" s="80" t="s">
        <v>2330</v>
      </c>
      <c r="BJ179" s="81">
        <f t="shared" ca="1" si="467"/>
        <v>0</v>
      </c>
      <c r="BK179" s="110"/>
      <c r="BL179" s="80" t="s">
        <v>2355</v>
      </c>
      <c r="BM179" s="81">
        <f t="shared" ca="1" si="467"/>
        <v>0</v>
      </c>
      <c r="BN179" s="110"/>
      <c r="BO179" s="80" t="s">
        <v>2330</v>
      </c>
      <c r="BP179" s="81">
        <f t="shared" ca="1" si="467"/>
        <v>0</v>
      </c>
      <c r="BQ179" s="110"/>
      <c r="BR179" s="80" t="s">
        <v>2355</v>
      </c>
      <c r="BS179" s="81">
        <f t="shared" ca="1" si="467"/>
        <v>0</v>
      </c>
      <c r="BT179" s="110"/>
      <c r="BU179" s="80" t="s">
        <v>2393</v>
      </c>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576</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15</v>
      </c>
      <c r="G182" s="407">
        <f ca="1">VLOOKUP(H182,Equipos!$Q$1:$R$25,2,0)</f>
        <v>20</v>
      </c>
      <c r="H182" s="446" t="str">
        <f>Idiomas!$D$260</f>
        <v>Dieciseisavos de final</v>
      </c>
      <c r="I182" s="50"/>
      <c r="J182" s="794"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1843</v>
      </c>
      <c r="Z182" s="77">
        <f t="shared" ref="Z182:Z197" si="494">COUNTIF($M$182:$M$197,Y182)*$D$19</f>
        <v>0</v>
      </c>
      <c r="AA182" s="64"/>
      <c r="AB182" s="76" t="s">
        <v>1265</v>
      </c>
      <c r="AC182" s="77">
        <f t="shared" ref="AC182:AC197" si="495">COUNTIF($M$182:$M$197,AB182)*$D$19</f>
        <v>0</v>
      </c>
      <c r="AD182" s="64"/>
      <c r="AE182" s="76" t="s">
        <v>1630</v>
      </c>
      <c r="AF182" s="77">
        <f t="shared" ref="AF182:AF197" si="496">COUNTIF($M$182:$M$197,AE182)*$D$19</f>
        <v>0</v>
      </c>
      <c r="AG182" s="64"/>
      <c r="AH182" s="76" t="s">
        <v>1259</v>
      </c>
      <c r="AI182" s="77">
        <f t="shared" ref="AI182:AI197" si="497">COUNTIF($M$182:$M$197,AH182)*$D$19</f>
        <v>0</v>
      </c>
      <c r="AJ182" s="64"/>
      <c r="AK182" s="76" t="s">
        <v>1259</v>
      </c>
      <c r="AL182" s="77">
        <f t="shared" ref="AL182:AL197" si="498">COUNTIF($M$182:$M$197,AK182)*$D$19</f>
        <v>0</v>
      </c>
      <c r="AM182" s="64"/>
      <c r="AN182" s="76" t="s">
        <v>75</v>
      </c>
      <c r="AO182" s="77">
        <f t="shared" ref="AO182:AO197" si="499">COUNTIF($M$182:$M$197,AN182)*$D$19</f>
        <v>0</v>
      </c>
      <c r="AP182" s="64"/>
      <c r="AQ182" s="76" t="s">
        <v>1843</v>
      </c>
      <c r="AR182" s="77">
        <f t="shared" ref="AR182:AR197" si="500">COUNTIF($M$182:$M$197,AQ182)*$D$19</f>
        <v>0</v>
      </c>
      <c r="AS182" s="64"/>
      <c r="AT182" s="76" t="s">
        <v>75</v>
      </c>
      <c r="AU182" s="77">
        <f t="shared" ref="AU182:AU197" si="501">COUNTIF($M$182:$M$197,AT182)*$D$19</f>
        <v>0</v>
      </c>
      <c r="AV182" s="64"/>
      <c r="AW182" s="76" t="s">
        <v>1265</v>
      </c>
      <c r="AX182" s="77">
        <f t="shared" ref="AX182:AX197" si="502">COUNTIF($M$182:$M$197,AW182)*$D$19</f>
        <v>0</v>
      </c>
      <c r="AY182" s="64"/>
      <c r="AZ182" s="76" t="s">
        <v>75</v>
      </c>
      <c r="BA182" s="77">
        <f t="shared" ref="BA182:BA197" si="503">COUNTIF($M$182:$M$197,AZ182)*$D$19</f>
        <v>0</v>
      </c>
      <c r="BB182" s="64"/>
      <c r="BC182" s="76" t="s">
        <v>1259</v>
      </c>
      <c r="BD182" s="77">
        <f t="shared" ref="BD182:BD197" si="504">COUNTIF($M$182:$M$197,BC182)*$D$19</f>
        <v>0</v>
      </c>
      <c r="BE182" s="64"/>
      <c r="BF182" s="76" t="s">
        <v>1260</v>
      </c>
      <c r="BG182" s="77">
        <f t="shared" ref="BG182:BG197" si="505">COUNTIF($M$182:$M$197,BF182)*$D$19</f>
        <v>0</v>
      </c>
      <c r="BH182" s="64"/>
      <c r="BI182" s="76" t="s">
        <v>1260</v>
      </c>
      <c r="BJ182" s="77">
        <f t="shared" ref="BJ182:BJ197" si="506">COUNTIF($M$182:$M$197,BI182)*$D$19</f>
        <v>0</v>
      </c>
      <c r="BK182" s="64"/>
      <c r="BL182" s="76" t="s">
        <v>1630</v>
      </c>
      <c r="BM182" s="77">
        <f t="shared" ref="BM182:BM197" si="507">COUNTIF($M$182:$M$197,BL182)*$D$19</f>
        <v>0</v>
      </c>
      <c r="BN182" s="64"/>
      <c r="BO182" s="76" t="s">
        <v>1260</v>
      </c>
      <c r="BP182" s="77">
        <f t="shared" ref="BP182:BP197" si="508">COUNTIF($M$182:$M$197,BO182)*$D$19</f>
        <v>0</v>
      </c>
      <c r="BQ182" s="64"/>
      <c r="BR182" s="76" t="s">
        <v>75</v>
      </c>
      <c r="BS182" s="77">
        <f t="shared" ref="BS182:BS197" si="509">COUNTIF($M$182:$M$197,BR182)*$D$19</f>
        <v>0</v>
      </c>
      <c r="BT182" s="64"/>
      <c r="BU182" s="76" t="s">
        <v>75</v>
      </c>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15</v>
      </c>
      <c r="G183" s="407">
        <f ca="1">VLOOKUP(H183,Equipos!$Q$1:$R$25,2,0)</f>
        <v>20</v>
      </c>
      <c r="H183" s="446" t="str">
        <f>Idiomas!$D$260</f>
        <v>Dieciseisavos de final</v>
      </c>
      <c r="I183" s="50"/>
      <c r="J183" s="794"/>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1633</v>
      </c>
      <c r="Z183" s="73">
        <f t="shared" si="494"/>
        <v>0</v>
      </c>
      <c r="AA183" s="64"/>
      <c r="AB183" s="74" t="s">
        <v>77</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77</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15</v>
      </c>
      <c r="G184" s="407">
        <f ca="1">VLOOKUP(H184,Equipos!$Q$1:$R$25,2,0)</f>
        <v>20</v>
      </c>
      <c r="H184" s="446" t="str">
        <f>Idiomas!$D$260</f>
        <v>Dieciseisavos de final</v>
      </c>
      <c r="I184" s="50"/>
      <c r="J184" s="794"/>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1321</v>
      </c>
      <c r="AU184" s="73">
        <f t="shared" si="501"/>
        <v>0</v>
      </c>
      <c r="AV184" s="64"/>
      <c r="AW184" s="74" t="s">
        <v>1258</v>
      </c>
      <c r="AX184" s="73">
        <f t="shared" si="502"/>
        <v>0</v>
      </c>
      <c r="AY184" s="64"/>
      <c r="AZ184" s="74" t="s">
        <v>1321</v>
      </c>
      <c r="BA184" s="73">
        <f t="shared" si="503"/>
        <v>0</v>
      </c>
      <c r="BB184" s="64"/>
      <c r="BC184" s="74" t="s">
        <v>1258</v>
      </c>
      <c r="BD184" s="73">
        <f t="shared" si="504"/>
        <v>0</v>
      </c>
      <c r="BE184" s="64"/>
      <c r="BF184" s="74" t="s">
        <v>1258</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15</v>
      </c>
      <c r="G185" s="407">
        <f ca="1">VLOOKUP(H185,Equipos!$Q$1:$R$25,2,0)</f>
        <v>20</v>
      </c>
      <c r="H185" s="446" t="str">
        <f>Idiomas!$D$260</f>
        <v>Dieciseisavos de final</v>
      </c>
      <c r="I185" s="50"/>
      <c r="J185" s="794"/>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77</v>
      </c>
      <c r="Z185" s="73">
        <f t="shared" si="494"/>
        <v>0</v>
      </c>
      <c r="AA185" s="64"/>
      <c r="AB185" s="74" t="s">
        <v>1260</v>
      </c>
      <c r="AC185" s="73">
        <f t="shared" si="495"/>
        <v>0</v>
      </c>
      <c r="AD185" s="64"/>
      <c r="AE185" s="74" t="s">
        <v>1265</v>
      </c>
      <c r="AF185" s="73">
        <f t="shared" si="496"/>
        <v>0</v>
      </c>
      <c r="AG185" s="64"/>
      <c r="AH185" s="74" t="s">
        <v>1318</v>
      </c>
      <c r="AI185" s="73">
        <f t="shared" si="497"/>
        <v>0</v>
      </c>
      <c r="AJ185" s="64"/>
      <c r="AK185" s="74" t="s">
        <v>1265</v>
      </c>
      <c r="AL185" s="73">
        <f t="shared" si="498"/>
        <v>0</v>
      </c>
      <c r="AM185" s="64"/>
      <c r="AN185" s="74" t="s">
        <v>1265</v>
      </c>
      <c r="AO185" s="73">
        <f t="shared" si="499"/>
        <v>0</v>
      </c>
      <c r="AP185" s="64"/>
      <c r="AQ185" s="74" t="s">
        <v>1265</v>
      </c>
      <c r="AR185" s="73">
        <f t="shared" si="500"/>
        <v>0</v>
      </c>
      <c r="AS185" s="64"/>
      <c r="AT185" s="74" t="s">
        <v>134</v>
      </c>
      <c r="AU185" s="73">
        <f t="shared" si="501"/>
        <v>0</v>
      </c>
      <c r="AV185" s="64"/>
      <c r="AW185" s="74" t="s">
        <v>1260</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1265</v>
      </c>
      <c r="BJ185" s="73">
        <f t="shared" si="506"/>
        <v>0</v>
      </c>
      <c r="BK185" s="64"/>
      <c r="BL185" s="74" t="s">
        <v>1265</v>
      </c>
      <c r="BM185" s="73">
        <f t="shared" si="507"/>
        <v>0</v>
      </c>
      <c r="BN185" s="64"/>
      <c r="BO185" s="74" t="s">
        <v>1261</v>
      </c>
      <c r="BP185" s="73">
        <f t="shared" si="508"/>
        <v>0</v>
      </c>
      <c r="BQ185" s="64"/>
      <c r="BR185" s="74" t="s">
        <v>1265</v>
      </c>
      <c r="BS185" s="73">
        <f t="shared" si="509"/>
        <v>0</v>
      </c>
      <c r="BT185" s="64"/>
      <c r="BU185" s="74" t="s">
        <v>1265</v>
      </c>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15</v>
      </c>
      <c r="G186" s="407">
        <f ca="1">VLOOKUP(H186,Equipos!$Q$1:$R$25,2,0)</f>
        <v>20</v>
      </c>
      <c r="H186" s="446" t="str">
        <f>Idiomas!$D$260</f>
        <v>Dieciseisavos de final</v>
      </c>
      <c r="I186" s="50"/>
      <c r="J186" s="794"/>
      <c r="K186" s="56" t="str">
        <f>Idiomas!$D$199&amp;"-"&amp;ROWS($L$182:L186)</f>
        <v>Octavofinalista-5</v>
      </c>
      <c r="L186" s="53"/>
      <c r="M186" s="55" t="str">
        <f>WORLDCUP!AA124</f>
        <v>W83</v>
      </c>
      <c r="N186" s="25"/>
      <c r="O186" s="25"/>
      <c r="P186" s="25"/>
      <c r="Q186" s="25"/>
      <c r="R186" s="110"/>
      <c r="S186" s="74" t="s">
        <v>78</v>
      </c>
      <c r="T186" s="73">
        <f t="shared" si="492"/>
        <v>0</v>
      </c>
      <c r="U186" s="64"/>
      <c r="V186" s="74" t="s">
        <v>78</v>
      </c>
      <c r="W186" s="73">
        <f t="shared" si="493"/>
        <v>0</v>
      </c>
      <c r="X186" s="64"/>
      <c r="Y186" s="74" t="s">
        <v>1320</v>
      </c>
      <c r="Z186" s="73">
        <f t="shared" si="494"/>
        <v>0</v>
      </c>
      <c r="AA186" s="64"/>
      <c r="AB186" s="74" t="s">
        <v>1320</v>
      </c>
      <c r="AC186" s="73">
        <f t="shared" si="495"/>
        <v>0</v>
      </c>
      <c r="AD186" s="64"/>
      <c r="AE186" s="74" t="s">
        <v>78</v>
      </c>
      <c r="AF186" s="73">
        <f t="shared" si="496"/>
        <v>0</v>
      </c>
      <c r="AG186" s="64"/>
      <c r="AH186" s="74" t="s">
        <v>78</v>
      </c>
      <c r="AI186" s="73">
        <f t="shared" si="497"/>
        <v>0</v>
      </c>
      <c r="AJ186" s="64"/>
      <c r="AK186" s="74" t="s">
        <v>1320</v>
      </c>
      <c r="AL186" s="73">
        <f t="shared" si="498"/>
        <v>0</v>
      </c>
      <c r="AM186" s="64"/>
      <c r="AN186" s="74" t="s">
        <v>78</v>
      </c>
      <c r="AO186" s="73">
        <f t="shared" si="499"/>
        <v>0</v>
      </c>
      <c r="AP186" s="64"/>
      <c r="AQ186" s="74" t="s">
        <v>1320</v>
      </c>
      <c r="AR186" s="73">
        <f t="shared" si="500"/>
        <v>0</v>
      </c>
      <c r="AS186" s="64"/>
      <c r="AT186" s="74" t="s">
        <v>78</v>
      </c>
      <c r="AU186" s="73">
        <f t="shared" si="501"/>
        <v>0</v>
      </c>
      <c r="AV186" s="64"/>
      <c r="AW186" s="74" t="s">
        <v>78</v>
      </c>
      <c r="AX186" s="73">
        <f t="shared" si="502"/>
        <v>0</v>
      </c>
      <c r="AY186" s="64"/>
      <c r="AZ186" s="74" t="s">
        <v>78</v>
      </c>
      <c r="BA186" s="73">
        <f t="shared" si="503"/>
        <v>0</v>
      </c>
      <c r="BB186" s="64"/>
      <c r="BC186" s="74" t="s">
        <v>78</v>
      </c>
      <c r="BD186" s="73">
        <f t="shared" si="504"/>
        <v>0</v>
      </c>
      <c r="BE186" s="64"/>
      <c r="BF186" s="74" t="s">
        <v>1320</v>
      </c>
      <c r="BG186" s="73">
        <f t="shared" si="505"/>
        <v>0</v>
      </c>
      <c r="BH186" s="64"/>
      <c r="BI186" s="74" t="s">
        <v>1551</v>
      </c>
      <c r="BJ186" s="73">
        <f t="shared" si="506"/>
        <v>0</v>
      </c>
      <c r="BK186" s="64"/>
      <c r="BL186" s="74" t="s">
        <v>78</v>
      </c>
      <c r="BM186" s="73">
        <f t="shared" si="507"/>
        <v>0</v>
      </c>
      <c r="BN186" s="64"/>
      <c r="BO186" s="74" t="s">
        <v>1320</v>
      </c>
      <c r="BP186" s="73">
        <f t="shared" si="508"/>
        <v>0</v>
      </c>
      <c r="BQ186" s="64"/>
      <c r="BR186" s="74" t="s">
        <v>1320</v>
      </c>
      <c r="BS186" s="73">
        <f t="shared" si="509"/>
        <v>0</v>
      </c>
      <c r="BT186" s="64"/>
      <c r="BU186" s="74" t="s">
        <v>1320</v>
      </c>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15</v>
      </c>
      <c r="G187" s="407">
        <f ca="1">VLOOKUP(H187,Equipos!$Q$1:$R$25,2,0)</f>
        <v>20</v>
      </c>
      <c r="H187" s="446" t="str">
        <f>Idiomas!$D$260</f>
        <v>Dieciseisavos de final</v>
      </c>
      <c r="I187" s="50"/>
      <c r="J187" s="794"/>
      <c r="K187" s="56" t="str">
        <f>Idiomas!$D$199&amp;"-"&amp;ROWS($L$182:L187)</f>
        <v>Octavofinalista-6</v>
      </c>
      <c r="L187" s="53"/>
      <c r="M187" s="55" t="str">
        <f>WORLDCUP!AA125</f>
        <v>W81</v>
      </c>
      <c r="N187" s="25"/>
      <c r="O187" s="25"/>
      <c r="P187" s="25"/>
      <c r="Q187" s="25"/>
      <c r="R187" s="110"/>
      <c r="S187" s="74" t="s">
        <v>1835</v>
      </c>
      <c r="T187" s="73">
        <f t="shared" si="492"/>
        <v>0</v>
      </c>
      <c r="U187" s="64"/>
      <c r="V187" s="74" t="s">
        <v>497</v>
      </c>
      <c r="W187" s="73">
        <f t="shared" si="493"/>
        <v>0</v>
      </c>
      <c r="X187" s="64"/>
      <c r="Y187" s="74" t="s">
        <v>1841</v>
      </c>
      <c r="Z187" s="73">
        <f t="shared" si="494"/>
        <v>0</v>
      </c>
      <c r="AA187" s="64"/>
      <c r="AB187" s="76" t="s">
        <v>497</v>
      </c>
      <c r="AC187" s="73">
        <f t="shared" si="495"/>
        <v>0</v>
      </c>
      <c r="AD187" s="64"/>
      <c r="AE187" s="74" t="s">
        <v>497</v>
      </c>
      <c r="AF187" s="73">
        <f t="shared" si="496"/>
        <v>0</v>
      </c>
      <c r="AG187" s="64"/>
      <c r="AH187" s="74" t="s">
        <v>497</v>
      </c>
      <c r="AI187" s="73">
        <f t="shared" si="497"/>
        <v>0</v>
      </c>
      <c r="AJ187" s="64"/>
      <c r="AK187" s="74" t="s">
        <v>1835</v>
      </c>
      <c r="AL187" s="73">
        <f t="shared" si="498"/>
        <v>0</v>
      </c>
      <c r="AM187" s="64"/>
      <c r="AN187" s="74" t="s">
        <v>1257</v>
      </c>
      <c r="AO187" s="73">
        <f t="shared" si="499"/>
        <v>0</v>
      </c>
      <c r="AP187" s="64"/>
      <c r="AQ187" s="74" t="s">
        <v>1835</v>
      </c>
      <c r="AR187" s="73">
        <f t="shared" si="500"/>
        <v>0</v>
      </c>
      <c r="AS187" s="64"/>
      <c r="AT187" s="74" t="s">
        <v>1835</v>
      </c>
      <c r="AU187" s="73">
        <f t="shared" si="501"/>
        <v>0</v>
      </c>
      <c r="AV187" s="64"/>
      <c r="AW187" s="74" t="s">
        <v>1835</v>
      </c>
      <c r="AX187" s="73">
        <f t="shared" si="502"/>
        <v>0</v>
      </c>
      <c r="AY187" s="64"/>
      <c r="AZ187" s="74" t="s">
        <v>1835</v>
      </c>
      <c r="BA187" s="73">
        <f t="shared" si="503"/>
        <v>0</v>
      </c>
      <c r="BB187" s="64"/>
      <c r="BC187" s="74" t="s">
        <v>1835</v>
      </c>
      <c r="BD187" s="73">
        <f t="shared" si="504"/>
        <v>0</v>
      </c>
      <c r="BE187" s="64"/>
      <c r="BF187" s="74" t="s">
        <v>497</v>
      </c>
      <c r="BG187" s="73">
        <f t="shared" si="505"/>
        <v>0</v>
      </c>
      <c r="BH187" s="64"/>
      <c r="BI187" s="74" t="s">
        <v>1835</v>
      </c>
      <c r="BJ187" s="73">
        <f t="shared" si="506"/>
        <v>0</v>
      </c>
      <c r="BK187" s="64"/>
      <c r="BL187" s="74" t="s">
        <v>497</v>
      </c>
      <c r="BM187" s="73">
        <f t="shared" si="507"/>
        <v>0</v>
      </c>
      <c r="BN187" s="64"/>
      <c r="BO187" s="74" t="s">
        <v>497</v>
      </c>
      <c r="BP187" s="73">
        <f t="shared" si="508"/>
        <v>0</v>
      </c>
      <c r="BQ187" s="64"/>
      <c r="BR187" s="74" t="s">
        <v>497</v>
      </c>
      <c r="BS187" s="73">
        <f t="shared" si="509"/>
        <v>0</v>
      </c>
      <c r="BT187" s="64"/>
      <c r="BU187" s="74" t="s">
        <v>497</v>
      </c>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15</v>
      </c>
      <c r="G188" s="407">
        <f ca="1">VLOOKUP(H188,Equipos!$Q$1:$R$25,2,0)</f>
        <v>20</v>
      </c>
      <c r="H188" s="446" t="str">
        <f>Idiomas!$D$260</f>
        <v>Dieciseisavos de final</v>
      </c>
      <c r="I188" s="50"/>
      <c r="J188" s="794"/>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1256</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1318</v>
      </c>
      <c r="BA188" s="73">
        <f t="shared" si="503"/>
        <v>0</v>
      </c>
      <c r="BB188" s="64"/>
      <c r="BC188" s="74" t="s">
        <v>1256</v>
      </c>
      <c r="BD188" s="73">
        <f t="shared" si="504"/>
        <v>0</v>
      </c>
      <c r="BE188" s="64"/>
      <c r="BF188" s="74" t="s">
        <v>1256</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15</v>
      </c>
      <c r="G189" s="407">
        <f ca="1">VLOOKUP(H189,Equipos!$Q$1:$R$25,2,0)</f>
        <v>20</v>
      </c>
      <c r="H189" s="446" t="str">
        <f>Idiomas!$D$260</f>
        <v>Dieciseisavos de final</v>
      </c>
      <c r="I189" s="50"/>
      <c r="J189" s="794"/>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t="s">
        <v>1259</v>
      </c>
      <c r="AC189" s="73">
        <f t="shared" si="495"/>
        <v>0</v>
      </c>
      <c r="AD189" s="64"/>
      <c r="AE189" s="74" t="s">
        <v>80</v>
      </c>
      <c r="AF189" s="73">
        <f t="shared" si="496"/>
        <v>0</v>
      </c>
      <c r="AG189" s="64"/>
      <c r="AH189" s="74" t="s">
        <v>75</v>
      </c>
      <c r="AI189" s="73">
        <f t="shared" si="497"/>
        <v>0</v>
      </c>
      <c r="AJ189" s="64"/>
      <c r="AK189" s="74" t="s">
        <v>1262</v>
      </c>
      <c r="AL189" s="73">
        <f t="shared" si="498"/>
        <v>0</v>
      </c>
      <c r="AM189" s="64"/>
      <c r="AN189" s="74" t="s">
        <v>80</v>
      </c>
      <c r="AO189" s="73">
        <f t="shared" si="499"/>
        <v>0</v>
      </c>
      <c r="AP189" s="64"/>
      <c r="AQ189" s="74" t="s">
        <v>75</v>
      </c>
      <c r="AR189" s="73">
        <f t="shared" si="500"/>
        <v>0</v>
      </c>
      <c r="AS189" s="64"/>
      <c r="AT189" s="74" t="s">
        <v>1259</v>
      </c>
      <c r="AU189" s="73">
        <f t="shared" si="501"/>
        <v>0</v>
      </c>
      <c r="AV189" s="64"/>
      <c r="AW189" s="74" t="s">
        <v>75</v>
      </c>
      <c r="AX189" s="73">
        <f t="shared" si="502"/>
        <v>0</v>
      </c>
      <c r="AY189" s="64"/>
      <c r="AZ189" s="74" t="s">
        <v>1259</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1262</v>
      </c>
      <c r="BM189" s="73">
        <f t="shared" si="507"/>
        <v>0</v>
      </c>
      <c r="BN189" s="64"/>
      <c r="BO189" s="74" t="s">
        <v>75</v>
      </c>
      <c r="BP189" s="73">
        <f t="shared" si="508"/>
        <v>0</v>
      </c>
      <c r="BQ189" s="64"/>
      <c r="BR189" s="74" t="s">
        <v>1259</v>
      </c>
      <c r="BS189" s="73">
        <f t="shared" si="509"/>
        <v>0</v>
      </c>
      <c r="BT189" s="64"/>
      <c r="BU189" s="74" t="s">
        <v>1259</v>
      </c>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15</v>
      </c>
      <c r="G190" s="407">
        <f ca="1">VLOOKUP(H190,Equipos!$Q$1:$R$25,2,0)</f>
        <v>20</v>
      </c>
      <c r="H190" s="446" t="str">
        <f>Idiomas!$D$260</f>
        <v>Dieciseisavos de final</v>
      </c>
      <c r="I190" s="50"/>
      <c r="J190" s="794"/>
      <c r="K190" s="56" t="str">
        <f>Idiomas!$D$199&amp;"-"&amp;ROWS($L$182:L190)</f>
        <v>Octavofinalista-9</v>
      </c>
      <c r="L190" s="53"/>
      <c r="M190" s="55" t="str">
        <f>WORLDCUP!AF120</f>
        <v>W75</v>
      </c>
      <c r="N190" s="25"/>
      <c r="O190" s="25"/>
      <c r="P190" s="25"/>
      <c r="Q190" s="25"/>
      <c r="R190" s="110"/>
      <c r="S190" s="74" t="s">
        <v>1321</v>
      </c>
      <c r="T190" s="73">
        <f t="shared" si="492"/>
        <v>0</v>
      </c>
      <c r="U190" s="64"/>
      <c r="V190" s="74" t="s">
        <v>111</v>
      </c>
      <c r="W190" s="73">
        <f t="shared" si="493"/>
        <v>0</v>
      </c>
      <c r="X190" s="64"/>
      <c r="Y190" s="74" t="s">
        <v>111</v>
      </c>
      <c r="Z190" s="73">
        <f t="shared" si="494"/>
        <v>0</v>
      </c>
      <c r="AA190" s="64"/>
      <c r="AB190" s="74" t="s">
        <v>111</v>
      </c>
      <c r="AC190" s="73">
        <f t="shared" si="495"/>
        <v>0</v>
      </c>
      <c r="AD190" s="64"/>
      <c r="AE190" s="74" t="s">
        <v>1321</v>
      </c>
      <c r="AF190" s="73">
        <f t="shared" si="496"/>
        <v>0</v>
      </c>
      <c r="AG190" s="64"/>
      <c r="AH190" s="74" t="s">
        <v>111</v>
      </c>
      <c r="AI190" s="73">
        <f t="shared" si="497"/>
        <v>0</v>
      </c>
      <c r="AJ190" s="64"/>
      <c r="AK190" s="74" t="s">
        <v>1321</v>
      </c>
      <c r="AL190" s="73">
        <f t="shared" si="498"/>
        <v>0</v>
      </c>
      <c r="AM190" s="64"/>
      <c r="AN190" s="74" t="s">
        <v>111</v>
      </c>
      <c r="AO190" s="73">
        <f t="shared" si="499"/>
        <v>0</v>
      </c>
      <c r="AP190" s="64"/>
      <c r="AQ190" s="74" t="s">
        <v>111</v>
      </c>
      <c r="AR190" s="73">
        <f t="shared" si="500"/>
        <v>0</v>
      </c>
      <c r="AS190" s="64"/>
      <c r="AT190" s="74" t="s">
        <v>1258</v>
      </c>
      <c r="AU190" s="73">
        <f t="shared" si="501"/>
        <v>0</v>
      </c>
      <c r="AV190" s="64"/>
      <c r="AW190" s="74" t="s">
        <v>111</v>
      </c>
      <c r="AX190" s="73">
        <f t="shared" si="502"/>
        <v>0</v>
      </c>
      <c r="AY190" s="64"/>
      <c r="AZ190" s="74" t="s">
        <v>1258</v>
      </c>
      <c r="BA190" s="73">
        <f t="shared" si="503"/>
        <v>0</v>
      </c>
      <c r="BB190" s="64"/>
      <c r="BC190" s="74" t="s">
        <v>1263</v>
      </c>
      <c r="BD190" s="73">
        <f t="shared" si="504"/>
        <v>0</v>
      </c>
      <c r="BE190" s="64"/>
      <c r="BF190" s="74" t="s">
        <v>111</v>
      </c>
      <c r="BG190" s="73">
        <f t="shared" si="505"/>
        <v>0</v>
      </c>
      <c r="BH190" s="64"/>
      <c r="BI190" s="74" t="s">
        <v>1321</v>
      </c>
      <c r="BJ190" s="73">
        <f t="shared" si="506"/>
        <v>0</v>
      </c>
      <c r="BK190" s="64"/>
      <c r="BL190" s="74" t="s">
        <v>111</v>
      </c>
      <c r="BM190" s="73">
        <f t="shared" si="507"/>
        <v>0</v>
      </c>
      <c r="BN190" s="64"/>
      <c r="BO190" s="74" t="s">
        <v>111</v>
      </c>
      <c r="BP190" s="73">
        <f t="shared" si="508"/>
        <v>0</v>
      </c>
      <c r="BQ190" s="64"/>
      <c r="BR190" s="74" t="s">
        <v>111</v>
      </c>
      <c r="BS190" s="73">
        <f t="shared" si="509"/>
        <v>0</v>
      </c>
      <c r="BT190" s="64"/>
      <c r="BU190" s="74" t="s">
        <v>1321</v>
      </c>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15</v>
      </c>
      <c r="G191" s="407">
        <f ca="1">VLOOKUP(H191,Equipos!$Q$1:$R$25,2,0)</f>
        <v>20</v>
      </c>
      <c r="H191" s="446" t="str">
        <f>Idiomas!$D$260</f>
        <v>Dieciseisavos de final</v>
      </c>
      <c r="I191" s="50"/>
      <c r="J191" s="794"/>
      <c r="K191" s="56" t="str">
        <f>Idiomas!$D$199&amp;"-"&amp;ROWS($L$182:L191)</f>
        <v>Octavofinalista-10</v>
      </c>
      <c r="L191" s="53"/>
      <c r="M191" s="55" t="str">
        <f>WORLDCUP!AF121</f>
        <v>W77</v>
      </c>
      <c r="N191" s="25"/>
      <c r="O191" s="25"/>
      <c r="P191" s="25"/>
      <c r="Q191" s="25"/>
      <c r="R191" s="110"/>
      <c r="S191" s="74" t="s">
        <v>135</v>
      </c>
      <c r="T191" s="73">
        <f t="shared" si="492"/>
        <v>0</v>
      </c>
      <c r="U191" s="64"/>
      <c r="V191" s="74" t="s">
        <v>74</v>
      </c>
      <c r="W191" s="73">
        <f t="shared" si="493"/>
        <v>0</v>
      </c>
      <c r="X191" s="64"/>
      <c r="Y191" s="74" t="s">
        <v>74</v>
      </c>
      <c r="Z191" s="73">
        <f t="shared" si="494"/>
        <v>0</v>
      </c>
      <c r="AA191" s="64"/>
      <c r="AB191" s="74" t="s">
        <v>74</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74</v>
      </c>
      <c r="AX191" s="73">
        <f t="shared" si="502"/>
        <v>0</v>
      </c>
      <c r="AY191" s="64"/>
      <c r="AZ191" s="74" t="s">
        <v>74</v>
      </c>
      <c r="BA191" s="73">
        <f t="shared" si="503"/>
        <v>0</v>
      </c>
      <c r="BB191" s="64"/>
      <c r="BC191" s="74" t="s">
        <v>135</v>
      </c>
      <c r="BD191" s="73">
        <f t="shared" si="504"/>
        <v>0</v>
      </c>
      <c r="BE191" s="64"/>
      <c r="BF191" s="74" t="s">
        <v>74</v>
      </c>
      <c r="BG191" s="73">
        <f t="shared" si="505"/>
        <v>0</v>
      </c>
      <c r="BH191" s="64"/>
      <c r="BI191" s="74" t="s">
        <v>1634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15</v>
      </c>
      <c r="G192" s="407">
        <f ca="1">VLOOKUP(H192,Equipos!$Q$1:$R$25,2,0)</f>
        <v>20</v>
      </c>
      <c r="H192" s="446" t="str">
        <f>Idiomas!$D$260</f>
        <v>Dieciseisavos de final</v>
      </c>
      <c r="I192" s="50"/>
      <c r="J192" s="794"/>
      <c r="K192" s="56" t="str">
        <f>Idiomas!$D$199&amp;"-"&amp;ROWS($L$182:L192)</f>
        <v>Octavofinalista-11</v>
      </c>
      <c r="L192" s="53"/>
      <c r="M192" s="55" t="str">
        <f>WORLDCUP!AF122</f>
        <v>W78</v>
      </c>
      <c r="N192" s="25"/>
      <c r="O192" s="25"/>
      <c r="P192" s="25"/>
      <c r="Q192" s="25"/>
      <c r="R192" s="110"/>
      <c r="S192" s="74" t="s">
        <v>74</v>
      </c>
      <c r="T192" s="73">
        <f t="shared" si="492"/>
        <v>0</v>
      </c>
      <c r="U192" s="64"/>
      <c r="V192" s="74" t="s">
        <v>77</v>
      </c>
      <c r="W192" s="73">
        <f t="shared" si="493"/>
        <v>0</v>
      </c>
      <c r="X192" s="64"/>
      <c r="Y192" s="74" t="s">
        <v>135</v>
      </c>
      <c r="Z192" s="73">
        <f t="shared" si="494"/>
        <v>0</v>
      </c>
      <c r="AA192" s="64"/>
      <c r="AB192" s="74" t="s">
        <v>1634</v>
      </c>
      <c r="AC192" s="73">
        <f t="shared" si="495"/>
        <v>0</v>
      </c>
      <c r="AD192" s="64"/>
      <c r="AE192" s="74" t="s">
        <v>1634</v>
      </c>
      <c r="AF192" s="73">
        <f t="shared" si="496"/>
        <v>0</v>
      </c>
      <c r="AG192" s="64"/>
      <c r="AH192" s="74" t="s">
        <v>135</v>
      </c>
      <c r="AI192" s="73">
        <f t="shared" si="497"/>
        <v>0</v>
      </c>
      <c r="AJ192" s="64"/>
      <c r="AK192" s="74" t="s">
        <v>135</v>
      </c>
      <c r="AL192" s="73">
        <f t="shared" si="498"/>
        <v>0</v>
      </c>
      <c r="AM192" s="64"/>
      <c r="AN192" s="74" t="s">
        <v>1634</v>
      </c>
      <c r="AO192" s="73">
        <f t="shared" si="499"/>
        <v>0</v>
      </c>
      <c r="AP192" s="64"/>
      <c r="AQ192" s="74" t="s">
        <v>135</v>
      </c>
      <c r="AR192" s="73">
        <f t="shared" si="500"/>
        <v>0</v>
      </c>
      <c r="AS192" s="64"/>
      <c r="AT192" s="74" t="s">
        <v>1634</v>
      </c>
      <c r="AU192" s="73">
        <f t="shared" si="501"/>
        <v>0</v>
      </c>
      <c r="AV192" s="64"/>
      <c r="AW192" s="74" t="s">
        <v>135</v>
      </c>
      <c r="AX192" s="73">
        <f t="shared" si="502"/>
        <v>0</v>
      </c>
      <c r="AY192" s="64"/>
      <c r="AZ192" s="74" t="s">
        <v>135</v>
      </c>
      <c r="BA192" s="73">
        <f t="shared" si="503"/>
        <v>0</v>
      </c>
      <c r="BB192" s="64"/>
      <c r="BC192" s="74" t="s">
        <v>74</v>
      </c>
      <c r="BD192" s="73">
        <f t="shared" si="504"/>
        <v>0</v>
      </c>
      <c r="BE192" s="64"/>
      <c r="BF192" s="74" t="s">
        <v>135</v>
      </c>
      <c r="BG192" s="73">
        <f t="shared" si="505"/>
        <v>0</v>
      </c>
      <c r="BH192" s="64"/>
      <c r="BI192" s="74" t="s">
        <v>1261</v>
      </c>
      <c r="BJ192" s="73">
        <f t="shared" si="506"/>
        <v>0</v>
      </c>
      <c r="BK192" s="64"/>
      <c r="BL192" s="74" t="s">
        <v>1634</v>
      </c>
      <c r="BM192" s="73">
        <f t="shared" si="507"/>
        <v>0</v>
      </c>
      <c r="BN192" s="64"/>
      <c r="BO192" s="74" t="s">
        <v>135</v>
      </c>
      <c r="BP192" s="73">
        <f t="shared" si="508"/>
        <v>0</v>
      </c>
      <c r="BQ192" s="64"/>
      <c r="BR192" s="74" t="s">
        <v>1634</v>
      </c>
      <c r="BS192" s="73">
        <f t="shared" si="509"/>
        <v>0</v>
      </c>
      <c r="BT192" s="64"/>
      <c r="BU192" s="74" t="s">
        <v>1634</v>
      </c>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15</v>
      </c>
      <c r="G193" s="407">
        <f ca="1">VLOOKUP(H193,Equipos!$Q$1:$R$25,2,0)</f>
        <v>20</v>
      </c>
      <c r="H193" s="446" t="str">
        <f>Idiomas!$D$260</f>
        <v>Dieciseisavos de final</v>
      </c>
      <c r="I193" s="50"/>
      <c r="J193" s="794"/>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135</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76</v>
      </c>
      <c r="BM193" s="73">
        <f t="shared" si="507"/>
        <v>0</v>
      </c>
      <c r="BN193" s="64"/>
      <c r="BO193" s="74" t="s">
        <v>76</v>
      </c>
      <c r="BP193" s="73">
        <f t="shared" si="508"/>
        <v>0</v>
      </c>
      <c r="BQ193" s="64"/>
      <c r="BR193" s="74" t="s">
        <v>76</v>
      </c>
      <c r="BS193" s="73">
        <f t="shared" si="509"/>
        <v>0</v>
      </c>
      <c r="BT193" s="64"/>
      <c r="BU193" s="74" t="s">
        <v>76</v>
      </c>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15</v>
      </c>
      <c r="G194" s="407">
        <f ca="1">VLOOKUP(H194,Equipos!$Q$1:$R$25,2,0)</f>
        <v>20</v>
      </c>
      <c r="H194" s="446" t="str">
        <f>Idiomas!$D$260</f>
        <v>Dieciseisavos de final</v>
      </c>
      <c r="I194" s="50"/>
      <c r="J194" s="794"/>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38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15</v>
      </c>
      <c r="G195" s="407">
        <f ca="1">VLOOKUP(H195,Equipos!$Q$1:$R$25,2,0)</f>
        <v>20</v>
      </c>
      <c r="H195" s="446" t="str">
        <f>Idiomas!$D$260</f>
        <v>Dieciseisavos de final</v>
      </c>
      <c r="I195" s="50"/>
      <c r="J195" s="794"/>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110</v>
      </c>
      <c r="BP195" s="73">
        <f t="shared" si="508"/>
        <v>0</v>
      </c>
      <c r="BQ195" s="64"/>
      <c r="BR195" s="74" t="s">
        <v>110</v>
      </c>
      <c r="BS195" s="73">
        <f t="shared" si="509"/>
        <v>0</v>
      </c>
      <c r="BT195" s="64"/>
      <c r="BU195" s="74" t="s">
        <v>110</v>
      </c>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15</v>
      </c>
      <c r="G196" s="407">
        <f ca="1">VLOOKUP(H196,Equipos!$Q$1:$R$25,2,0)</f>
        <v>20</v>
      </c>
      <c r="H196" s="446" t="str">
        <f>Idiomas!$D$260</f>
        <v>Dieciseisavos de final</v>
      </c>
      <c r="I196" s="50"/>
      <c r="J196" s="794"/>
      <c r="K196" s="56" t="str">
        <f>Idiomas!$D$199&amp;"-"&amp;ROWS($L$182:L196)</f>
        <v>Octavofinalista-15</v>
      </c>
      <c r="L196" s="53"/>
      <c r="M196" s="55" t="str">
        <f>WORLDCUP!AF126</f>
        <v>W88</v>
      </c>
      <c r="N196" s="25"/>
      <c r="O196" s="25"/>
      <c r="P196" s="25"/>
      <c r="Q196" s="25"/>
      <c r="R196" s="110"/>
      <c r="S196" s="74" t="s">
        <v>497</v>
      </c>
      <c r="T196" s="73">
        <f t="shared" si="492"/>
        <v>0</v>
      </c>
      <c r="U196" s="64"/>
      <c r="V196" s="74" t="s">
        <v>1835</v>
      </c>
      <c r="W196" s="73">
        <f t="shared" si="493"/>
        <v>0</v>
      </c>
      <c r="X196" s="64"/>
      <c r="Y196" s="74" t="s">
        <v>497</v>
      </c>
      <c r="Z196" s="73">
        <f t="shared" si="494"/>
        <v>0</v>
      </c>
      <c r="AA196" s="64"/>
      <c r="AB196" s="74" t="s">
        <v>1257</v>
      </c>
      <c r="AC196" s="73">
        <f t="shared" si="495"/>
        <v>0</v>
      </c>
      <c r="AD196" s="64"/>
      <c r="AE196" s="74" t="s">
        <v>1319</v>
      </c>
      <c r="AF196" s="73">
        <f t="shared" si="496"/>
        <v>0</v>
      </c>
      <c r="AG196" s="64"/>
      <c r="AH196" s="74" t="s">
        <v>1319</v>
      </c>
      <c r="AI196" s="73">
        <f t="shared" si="497"/>
        <v>0</v>
      </c>
      <c r="AJ196" s="64"/>
      <c r="AK196" s="74" t="s">
        <v>1550</v>
      </c>
      <c r="AL196" s="73">
        <f t="shared" si="498"/>
        <v>0</v>
      </c>
      <c r="AM196" s="64"/>
      <c r="AN196" s="74" t="s">
        <v>497</v>
      </c>
      <c r="AO196" s="73">
        <f t="shared" si="499"/>
        <v>0</v>
      </c>
      <c r="AP196" s="64"/>
      <c r="AQ196" s="74" t="s">
        <v>497</v>
      </c>
      <c r="AR196" s="73">
        <f t="shared" si="500"/>
        <v>0</v>
      </c>
      <c r="AS196" s="64"/>
      <c r="AT196" s="74" t="s">
        <v>1550</v>
      </c>
      <c r="AU196" s="73">
        <f t="shared" si="501"/>
        <v>0</v>
      </c>
      <c r="AV196" s="64"/>
      <c r="AW196" s="74" t="s">
        <v>1319</v>
      </c>
      <c r="AX196" s="73">
        <f t="shared" si="502"/>
        <v>0</v>
      </c>
      <c r="AY196" s="64"/>
      <c r="AZ196" s="74" t="s">
        <v>1550</v>
      </c>
      <c r="BA196" s="73">
        <f t="shared" si="503"/>
        <v>0</v>
      </c>
      <c r="BB196" s="64"/>
      <c r="BC196" s="74" t="s">
        <v>1257</v>
      </c>
      <c r="BD196" s="73">
        <f t="shared" si="504"/>
        <v>0</v>
      </c>
      <c r="BE196" s="64"/>
      <c r="BF196" s="74" t="s">
        <v>1835</v>
      </c>
      <c r="BG196" s="73">
        <f t="shared" si="505"/>
        <v>0</v>
      </c>
      <c r="BH196" s="64"/>
      <c r="BI196" s="74" t="s">
        <v>497</v>
      </c>
      <c r="BJ196" s="73">
        <f t="shared" si="506"/>
        <v>0</v>
      </c>
      <c r="BK196" s="64"/>
      <c r="BL196" s="74" t="s">
        <v>1550</v>
      </c>
      <c r="BM196" s="73">
        <f t="shared" si="507"/>
        <v>0</v>
      </c>
      <c r="BN196" s="64"/>
      <c r="BO196" s="74" t="s">
        <v>1835</v>
      </c>
      <c r="BP196" s="73">
        <f t="shared" si="508"/>
        <v>0</v>
      </c>
      <c r="BQ196" s="64"/>
      <c r="BR196" s="74" t="s">
        <v>1319</v>
      </c>
      <c r="BS196" s="73">
        <f t="shared" si="509"/>
        <v>0</v>
      </c>
      <c r="BT196" s="64"/>
      <c r="BU196" s="74" t="s">
        <v>1835</v>
      </c>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15</v>
      </c>
      <c r="G197" s="407">
        <f ca="1">VLOOKUP(H197,Equipos!$Q$1:$R$25,2,0)</f>
        <v>20</v>
      </c>
      <c r="H197" s="446" t="str">
        <f>Idiomas!$D$260</f>
        <v>Dieciseisavos de final</v>
      </c>
      <c r="I197" s="50"/>
      <c r="J197" s="794"/>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240</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60</v>
      </c>
      <c r="G200" s="407">
        <f ca="1">VLOOKUP(H200,Equipos!$Q$1:$R$25,2,0)</f>
        <v>21</v>
      </c>
      <c r="H200" s="65" t="str">
        <f>Idiomas!$D$261</f>
        <v>Octavos de final</v>
      </c>
      <c r="I200" s="43">
        <v>2</v>
      </c>
      <c r="J200" s="794"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1972</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2011</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2053</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2080</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2139</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2108</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2190</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2214</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2263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2237</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2409</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2313</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2331</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2356</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2374</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2190</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2394</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60</v>
      </c>
      <c r="G201" s="407">
        <f ca="1">VLOOKUP(H201,Equipos!$Q$1:$R$25,2,0)</f>
        <v>21</v>
      </c>
      <c r="H201" s="65" t="str">
        <f>Idiomas!$D$261</f>
        <v>Octavos de final</v>
      </c>
      <c r="I201" s="43">
        <v>2</v>
      </c>
      <c r="J201" s="794"/>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1973</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2012</v>
      </c>
      <c r="W201" s="73">
        <f t="shared" si="545"/>
        <v>0</v>
      </c>
      <c r="X201" s="110"/>
      <c r="Y201" s="80" t="s">
        <v>2054</v>
      </c>
      <c r="Z201" s="73">
        <f t="shared" si="545"/>
        <v>0</v>
      </c>
      <c r="AA201" s="110"/>
      <c r="AB201" s="80" t="s">
        <v>2081</v>
      </c>
      <c r="AC201" s="73">
        <f t="shared" si="545"/>
        <v>0</v>
      </c>
      <c r="AD201" s="110"/>
      <c r="AE201" s="80" t="s">
        <v>2140</v>
      </c>
      <c r="AF201" s="73">
        <f t="shared" si="545"/>
        <v>0</v>
      </c>
      <c r="AG201" s="110"/>
      <c r="AH201" s="80" t="s">
        <v>2081</v>
      </c>
      <c r="AI201" s="73">
        <f t="shared" si="545"/>
        <v>0</v>
      </c>
      <c r="AJ201" s="110"/>
      <c r="AK201" s="80" t="s">
        <v>2169</v>
      </c>
      <c r="AL201" s="73">
        <f t="shared" si="545"/>
        <v>0</v>
      </c>
      <c r="AM201" s="110"/>
      <c r="AN201" s="80" t="s">
        <v>2081</v>
      </c>
      <c r="AO201" s="73">
        <f t="shared" si="545"/>
        <v>0</v>
      </c>
      <c r="AP201" s="110"/>
      <c r="AQ201" s="80" t="s">
        <v>2169</v>
      </c>
      <c r="AR201" s="73">
        <f t="shared" si="545"/>
        <v>0</v>
      </c>
      <c r="AS201" s="110"/>
      <c r="AT201" s="80" t="s">
        <v>2264</v>
      </c>
      <c r="AU201" s="73">
        <f t="shared" si="545"/>
        <v>0</v>
      </c>
      <c r="AV201" s="110"/>
      <c r="AW201" s="80" t="s">
        <v>2238</v>
      </c>
      <c r="AX201" s="73">
        <f t="shared" si="545"/>
        <v>0</v>
      </c>
      <c r="AY201" s="110"/>
      <c r="AZ201" s="80" t="s">
        <v>2081</v>
      </c>
      <c r="BA201" s="73">
        <f t="shared" si="545"/>
        <v>0</v>
      </c>
      <c r="BB201" s="110"/>
      <c r="BC201" s="80" t="s">
        <v>2410</v>
      </c>
      <c r="BD201" s="73">
        <f t="shared" si="545"/>
        <v>0</v>
      </c>
      <c r="BE201" s="110"/>
      <c r="BF201" s="80" t="s">
        <v>2081</v>
      </c>
      <c r="BG201" s="73">
        <f t="shared" si="545"/>
        <v>0</v>
      </c>
      <c r="BH201" s="110"/>
      <c r="BI201" s="80" t="s">
        <v>2332</v>
      </c>
      <c r="BJ201" s="73">
        <f t="shared" si="545"/>
        <v>0</v>
      </c>
      <c r="BK201" s="110"/>
      <c r="BL201" s="80" t="s">
        <v>2357</v>
      </c>
      <c r="BM201" s="73">
        <f t="shared" si="545"/>
        <v>0</v>
      </c>
      <c r="BN201" s="110"/>
      <c r="BO201" s="80" t="s">
        <v>2238</v>
      </c>
      <c r="BP201" s="73">
        <f t="shared" si="545"/>
        <v>0</v>
      </c>
      <c r="BQ201" s="110"/>
      <c r="BR201" s="80" t="s">
        <v>2081</v>
      </c>
      <c r="BS201" s="73">
        <f t="shared" si="545"/>
        <v>0</v>
      </c>
      <c r="BT201" s="110"/>
      <c r="BU201" s="80" t="s">
        <v>2081</v>
      </c>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60</v>
      </c>
      <c r="G202" s="407">
        <f ca="1">VLOOKUP(H202,Equipos!$Q$1:$R$25,2,0)</f>
        <v>21</v>
      </c>
      <c r="H202" s="65" t="str">
        <f>Idiomas!$D$261</f>
        <v>Octavos de final</v>
      </c>
      <c r="I202" s="43">
        <v>2</v>
      </c>
      <c r="J202" s="794"/>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1974</v>
      </c>
      <c r="T202" s="73">
        <f t="shared" si="570"/>
        <v>0</v>
      </c>
      <c r="U202" s="110"/>
      <c r="V202" s="74" t="s">
        <v>2013</v>
      </c>
      <c r="W202" s="73">
        <f t="shared" si="545"/>
        <v>0</v>
      </c>
      <c r="X202" s="110"/>
      <c r="Y202" s="80" t="s">
        <v>2055</v>
      </c>
      <c r="Z202" s="73">
        <f t="shared" si="545"/>
        <v>0</v>
      </c>
      <c r="AA202" s="110"/>
      <c r="AB202" s="80" t="s">
        <v>2082</v>
      </c>
      <c r="AC202" s="73">
        <f t="shared" si="545"/>
        <v>0</v>
      </c>
      <c r="AD202" s="110"/>
      <c r="AE202" s="80" t="s">
        <v>2141</v>
      </c>
      <c r="AF202" s="73">
        <f t="shared" si="545"/>
        <v>0</v>
      </c>
      <c r="AG202" s="110"/>
      <c r="AH202" s="80" t="s">
        <v>2109</v>
      </c>
      <c r="AI202" s="73">
        <f t="shared" si="545"/>
        <v>0</v>
      </c>
      <c r="AJ202" s="110"/>
      <c r="AK202" s="80" t="s">
        <v>2109</v>
      </c>
      <c r="AL202" s="73">
        <f t="shared" si="545"/>
        <v>0</v>
      </c>
      <c r="AM202" s="110"/>
      <c r="AN202" s="80" t="s">
        <v>2191</v>
      </c>
      <c r="AO202" s="73">
        <f t="shared" si="545"/>
        <v>0</v>
      </c>
      <c r="AP202" s="110"/>
      <c r="AQ202" s="80" t="s">
        <v>2215</v>
      </c>
      <c r="AR202" s="73">
        <f t="shared" si="545"/>
        <v>0</v>
      </c>
      <c r="AS202" s="110"/>
      <c r="AT202" s="80" t="s">
        <v>2265</v>
      </c>
      <c r="AU202" s="73">
        <f t="shared" si="545"/>
        <v>0</v>
      </c>
      <c r="AV202" s="110"/>
      <c r="AW202" s="80" t="s">
        <v>2239</v>
      </c>
      <c r="AX202" s="73">
        <f t="shared" si="545"/>
        <v>0</v>
      </c>
      <c r="AY202" s="110"/>
      <c r="AZ202" s="80" t="s">
        <v>2271</v>
      </c>
      <c r="BA202" s="73">
        <f t="shared" si="545"/>
        <v>0</v>
      </c>
      <c r="BB202" s="110"/>
      <c r="BC202" s="80" t="s">
        <v>2411</v>
      </c>
      <c r="BD202" s="73">
        <f t="shared" si="545"/>
        <v>0</v>
      </c>
      <c r="BE202" s="110"/>
      <c r="BF202" s="80" t="s">
        <v>2314</v>
      </c>
      <c r="BG202" s="73">
        <f t="shared" si="545"/>
        <v>0</v>
      </c>
      <c r="BH202" s="110"/>
      <c r="BI202" s="80" t="s">
        <v>2333</v>
      </c>
      <c r="BJ202" s="73">
        <f t="shared" si="545"/>
        <v>0</v>
      </c>
      <c r="BK202" s="110"/>
      <c r="BL202" s="80" t="s">
        <v>2082</v>
      </c>
      <c r="BM202" s="73">
        <f t="shared" si="545"/>
        <v>0</v>
      </c>
      <c r="BN202" s="110"/>
      <c r="BO202" s="80" t="s">
        <v>2239</v>
      </c>
      <c r="BP202" s="73">
        <f t="shared" si="545"/>
        <v>0</v>
      </c>
      <c r="BQ202" s="110"/>
      <c r="BR202" s="80" t="s">
        <v>2191</v>
      </c>
      <c r="BS202" s="73">
        <f t="shared" si="545"/>
        <v>0</v>
      </c>
      <c r="BT202" s="110"/>
      <c r="BU202" s="80" t="s">
        <v>2141</v>
      </c>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60</v>
      </c>
      <c r="G203" s="407">
        <f ca="1">VLOOKUP(H203,Equipos!$Q$1:$R$25,2,0)</f>
        <v>21</v>
      </c>
      <c r="H203" s="65" t="str">
        <f>Idiomas!$D$261</f>
        <v>Octavos de final</v>
      </c>
      <c r="I203" s="43">
        <v>2</v>
      </c>
      <c r="J203" s="794"/>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1975</v>
      </c>
      <c r="T203" s="73">
        <f t="shared" si="570"/>
        <v>0</v>
      </c>
      <c r="U203" s="110"/>
      <c r="V203" s="74" t="s">
        <v>1975</v>
      </c>
      <c r="W203" s="73">
        <f t="shared" si="545"/>
        <v>0</v>
      </c>
      <c r="X203" s="110"/>
      <c r="Y203" s="80" t="s">
        <v>2056</v>
      </c>
      <c r="Z203" s="73">
        <f t="shared" si="545"/>
        <v>0</v>
      </c>
      <c r="AA203" s="110"/>
      <c r="AB203" s="80" t="s">
        <v>2083</v>
      </c>
      <c r="AC203" s="73">
        <f t="shared" si="545"/>
        <v>0</v>
      </c>
      <c r="AD203" s="110"/>
      <c r="AE203" s="80" t="s">
        <v>2142</v>
      </c>
      <c r="AF203" s="73">
        <f t="shared" si="545"/>
        <v>0</v>
      </c>
      <c r="AG203" s="110"/>
      <c r="AH203" s="80" t="s">
        <v>2110</v>
      </c>
      <c r="AI203" s="73">
        <f t="shared" si="545"/>
        <v>0</v>
      </c>
      <c r="AJ203" s="110"/>
      <c r="AK203" s="80" t="s">
        <v>1975</v>
      </c>
      <c r="AL203" s="73">
        <f t="shared" si="545"/>
        <v>0</v>
      </c>
      <c r="AM203" s="110"/>
      <c r="AN203" s="80" t="s">
        <v>2192</v>
      </c>
      <c r="AO203" s="73">
        <f t="shared" si="545"/>
        <v>0</v>
      </c>
      <c r="AP203" s="110"/>
      <c r="AQ203" s="80" t="s">
        <v>2216</v>
      </c>
      <c r="AR203" s="73">
        <f t="shared" si="545"/>
        <v>0</v>
      </c>
      <c r="AS203" s="110"/>
      <c r="AT203" s="80" t="s">
        <v>2266</v>
      </c>
      <c r="AU203" s="73">
        <f t="shared" si="545"/>
        <v>0</v>
      </c>
      <c r="AV203" s="110"/>
      <c r="AW203" s="80" t="s">
        <v>2240</v>
      </c>
      <c r="AX203" s="73">
        <f t="shared" si="545"/>
        <v>0</v>
      </c>
      <c r="AY203" s="110"/>
      <c r="AZ203" s="80" t="s">
        <v>1975</v>
      </c>
      <c r="BA203" s="73">
        <f t="shared" si="545"/>
        <v>0</v>
      </c>
      <c r="BB203" s="110"/>
      <c r="BC203" s="80" t="s">
        <v>2412</v>
      </c>
      <c r="BD203" s="73">
        <f t="shared" si="545"/>
        <v>0</v>
      </c>
      <c r="BE203" s="110"/>
      <c r="BF203" s="80" t="s">
        <v>2315</v>
      </c>
      <c r="BG203" s="73">
        <f t="shared" si="545"/>
        <v>0</v>
      </c>
      <c r="BH203" s="110"/>
      <c r="BI203" s="80" t="s">
        <v>2334</v>
      </c>
      <c r="BJ203" s="73">
        <f t="shared" si="545"/>
        <v>0</v>
      </c>
      <c r="BK203" s="110"/>
      <c r="BL203" s="80" t="s">
        <v>2216</v>
      </c>
      <c r="BM203" s="73">
        <f t="shared" si="545"/>
        <v>0</v>
      </c>
      <c r="BN203" s="110"/>
      <c r="BO203" s="80" t="s">
        <v>2375</v>
      </c>
      <c r="BP203" s="73">
        <f t="shared" si="545"/>
        <v>0</v>
      </c>
      <c r="BQ203" s="110"/>
      <c r="BR203" s="80" t="s">
        <v>1975</v>
      </c>
      <c r="BS203" s="73">
        <f t="shared" si="545"/>
        <v>0</v>
      </c>
      <c r="BT203" s="110"/>
      <c r="BU203" s="80" t="s">
        <v>1975</v>
      </c>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60</v>
      </c>
      <c r="G204" s="407">
        <f ca="1">VLOOKUP(H204,Equipos!$Q$1:$R$25,2,0)</f>
        <v>21</v>
      </c>
      <c r="H204" s="65" t="str">
        <f>Idiomas!$D$261</f>
        <v>Octavos de final</v>
      </c>
      <c r="I204" s="43">
        <v>2</v>
      </c>
      <c r="J204" s="794"/>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1976</v>
      </c>
      <c r="T204" s="73">
        <f t="shared" si="570"/>
        <v>0</v>
      </c>
      <c r="U204" s="110"/>
      <c r="V204" s="74" t="s">
        <v>2014</v>
      </c>
      <c r="W204" s="73">
        <f t="shared" si="545"/>
        <v>0</v>
      </c>
      <c r="X204" s="110"/>
      <c r="Y204" s="80" t="s">
        <v>2057</v>
      </c>
      <c r="Z204" s="73">
        <f t="shared" si="545"/>
        <v>0</v>
      </c>
      <c r="AA204" s="110"/>
      <c r="AB204" s="80" t="s">
        <v>2084</v>
      </c>
      <c r="AC204" s="73">
        <f t="shared" si="545"/>
        <v>0</v>
      </c>
      <c r="AD204" s="110"/>
      <c r="AE204" s="80" t="s">
        <v>1976</v>
      </c>
      <c r="AF204" s="73">
        <f t="shared" si="545"/>
        <v>0</v>
      </c>
      <c r="AG204" s="110"/>
      <c r="AH204" s="80" t="s">
        <v>2111</v>
      </c>
      <c r="AI204" s="73">
        <f t="shared" si="545"/>
        <v>0</v>
      </c>
      <c r="AJ204" s="110"/>
      <c r="AK204" s="80" t="s">
        <v>2057</v>
      </c>
      <c r="AL204" s="73">
        <f t="shared" si="545"/>
        <v>0</v>
      </c>
      <c r="AM204" s="110"/>
      <c r="AN204" s="80" t="s">
        <v>2193</v>
      </c>
      <c r="AO204" s="73">
        <f t="shared" si="545"/>
        <v>0</v>
      </c>
      <c r="AP204" s="110"/>
      <c r="AQ204" s="80" t="s">
        <v>2057</v>
      </c>
      <c r="AR204" s="73">
        <f t="shared" si="545"/>
        <v>0</v>
      </c>
      <c r="AS204" s="110"/>
      <c r="AT204" s="80" t="s">
        <v>2111</v>
      </c>
      <c r="AU204" s="73">
        <f t="shared" si="545"/>
        <v>0</v>
      </c>
      <c r="AV204" s="110"/>
      <c r="AW204" s="80" t="s">
        <v>1976</v>
      </c>
      <c r="AX204" s="73">
        <f t="shared" si="545"/>
        <v>0</v>
      </c>
      <c r="AY204" s="110"/>
      <c r="AZ204" s="80" t="s">
        <v>1976</v>
      </c>
      <c r="BA204" s="73">
        <f t="shared" si="545"/>
        <v>0</v>
      </c>
      <c r="BB204" s="110"/>
      <c r="BC204" s="80" t="s">
        <v>2413</v>
      </c>
      <c r="BD204" s="73">
        <f t="shared" si="545"/>
        <v>0</v>
      </c>
      <c r="BE204" s="110"/>
      <c r="BF204" s="80" t="s">
        <v>2084</v>
      </c>
      <c r="BG204" s="73">
        <f t="shared" si="545"/>
        <v>0</v>
      </c>
      <c r="BH204" s="110"/>
      <c r="BI204" s="80" t="s">
        <v>2335</v>
      </c>
      <c r="BJ204" s="73">
        <f t="shared" si="545"/>
        <v>0</v>
      </c>
      <c r="BK204" s="110"/>
      <c r="BL204" s="80" t="s">
        <v>2193</v>
      </c>
      <c r="BM204" s="73">
        <f t="shared" si="545"/>
        <v>0</v>
      </c>
      <c r="BN204" s="110"/>
      <c r="BO204" s="80" t="s">
        <v>2084</v>
      </c>
      <c r="BP204" s="73">
        <f t="shared" si="545"/>
        <v>0</v>
      </c>
      <c r="BQ204" s="110"/>
      <c r="BR204" s="80" t="s">
        <v>2057</v>
      </c>
      <c r="BS204" s="73">
        <f t="shared" si="545"/>
        <v>0</v>
      </c>
      <c r="BT204" s="110"/>
      <c r="BU204" s="80" t="s">
        <v>2084</v>
      </c>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60</v>
      </c>
      <c r="G205" s="407">
        <f ca="1">VLOOKUP(H205,Equipos!$Q$1:$R$25,2,0)</f>
        <v>21</v>
      </c>
      <c r="H205" s="65" t="str">
        <f>Idiomas!$D$261</f>
        <v>Octavos de final</v>
      </c>
      <c r="I205" s="43">
        <v>2</v>
      </c>
      <c r="J205" s="794"/>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1977</v>
      </c>
      <c r="T205" s="73">
        <f t="shared" si="570"/>
        <v>0</v>
      </c>
      <c r="U205" s="110"/>
      <c r="V205" s="74" t="s">
        <v>2015</v>
      </c>
      <c r="W205" s="73">
        <f t="shared" si="545"/>
        <v>0</v>
      </c>
      <c r="X205" s="110"/>
      <c r="Y205" s="80" t="s">
        <v>2058</v>
      </c>
      <c r="Z205" s="73">
        <f t="shared" si="545"/>
        <v>0</v>
      </c>
      <c r="AA205" s="110"/>
      <c r="AB205" s="80" t="s">
        <v>2015</v>
      </c>
      <c r="AC205" s="73">
        <f t="shared" si="545"/>
        <v>0</v>
      </c>
      <c r="AD205" s="110"/>
      <c r="AE205" s="80" t="s">
        <v>2143</v>
      </c>
      <c r="AF205" s="73">
        <f t="shared" si="545"/>
        <v>0</v>
      </c>
      <c r="AG205" s="110"/>
      <c r="AH205" s="80" t="s">
        <v>2015</v>
      </c>
      <c r="AI205" s="73">
        <f t="shared" si="545"/>
        <v>0</v>
      </c>
      <c r="AJ205" s="110"/>
      <c r="AK205" s="80" t="s">
        <v>2170</v>
      </c>
      <c r="AL205" s="73">
        <f t="shared" si="545"/>
        <v>0</v>
      </c>
      <c r="AM205" s="110"/>
      <c r="AN205" s="80" t="s">
        <v>2194</v>
      </c>
      <c r="AO205" s="73">
        <f t="shared" si="545"/>
        <v>0</v>
      </c>
      <c r="AP205" s="110"/>
      <c r="AQ205" s="80" t="s">
        <v>2170</v>
      </c>
      <c r="AR205" s="73">
        <f t="shared" si="545"/>
        <v>0</v>
      </c>
      <c r="AS205" s="110"/>
      <c r="AT205" s="80" t="s">
        <v>2267</v>
      </c>
      <c r="AU205" s="73">
        <f t="shared" si="545"/>
        <v>0</v>
      </c>
      <c r="AV205" s="110"/>
      <c r="AW205" s="80" t="s">
        <v>2241</v>
      </c>
      <c r="AX205" s="73">
        <f t="shared" si="545"/>
        <v>0</v>
      </c>
      <c r="AY205" s="110"/>
      <c r="AZ205" s="80" t="s">
        <v>2290</v>
      </c>
      <c r="BA205" s="73">
        <f t="shared" si="545"/>
        <v>0</v>
      </c>
      <c r="BB205" s="110"/>
      <c r="BC205" s="80" t="s">
        <v>2267</v>
      </c>
      <c r="BD205" s="73">
        <f t="shared" si="545"/>
        <v>0</v>
      </c>
      <c r="BE205" s="110"/>
      <c r="BF205" s="80" t="s">
        <v>2015</v>
      </c>
      <c r="BG205" s="73">
        <f t="shared" si="545"/>
        <v>0</v>
      </c>
      <c r="BH205" s="110"/>
      <c r="BI205" s="80" t="s">
        <v>2241</v>
      </c>
      <c r="BJ205" s="73">
        <f t="shared" si="545"/>
        <v>0</v>
      </c>
      <c r="BK205" s="110"/>
      <c r="BL205" s="80" t="s">
        <v>2015</v>
      </c>
      <c r="BM205" s="73">
        <f t="shared" si="545"/>
        <v>0</v>
      </c>
      <c r="BN205" s="110"/>
      <c r="BO205" s="80" t="s">
        <v>2376</v>
      </c>
      <c r="BP205" s="73">
        <f t="shared" si="545"/>
        <v>0</v>
      </c>
      <c r="BQ205" s="110"/>
      <c r="BR205" s="80" t="s">
        <v>2015</v>
      </c>
      <c r="BS205" s="73">
        <f t="shared" si="545"/>
        <v>0</v>
      </c>
      <c r="BT205" s="110"/>
      <c r="BU205" s="80" t="s">
        <v>2015</v>
      </c>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60</v>
      </c>
      <c r="G206" s="407">
        <f ca="1">VLOOKUP(H206,Equipos!$Q$1:$R$25,2,0)</f>
        <v>21</v>
      </c>
      <c r="H206" s="65" t="str">
        <f>Idiomas!$D$261</f>
        <v>Octavos de final</v>
      </c>
      <c r="I206" s="43">
        <v>2</v>
      </c>
      <c r="J206" s="794"/>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1978</v>
      </c>
      <c r="T206" s="73">
        <f t="shared" si="570"/>
        <v>0</v>
      </c>
      <c r="U206" s="110"/>
      <c r="V206" s="74" t="s">
        <v>2016</v>
      </c>
      <c r="W206" s="73">
        <f t="shared" si="545"/>
        <v>0</v>
      </c>
      <c r="X206" s="110"/>
      <c r="Y206" s="80" t="s">
        <v>2059</v>
      </c>
      <c r="Z206" s="73">
        <f t="shared" si="545"/>
        <v>0</v>
      </c>
      <c r="AA206" s="110"/>
      <c r="AB206" s="80" t="s">
        <v>2085</v>
      </c>
      <c r="AC206" s="73">
        <f t="shared" si="545"/>
        <v>0</v>
      </c>
      <c r="AD206" s="110"/>
      <c r="AE206" s="80" t="s">
        <v>2144</v>
      </c>
      <c r="AF206" s="73">
        <f t="shared" si="545"/>
        <v>0</v>
      </c>
      <c r="AG206" s="110"/>
      <c r="AH206" s="80" t="s">
        <v>2112</v>
      </c>
      <c r="AI206" s="73">
        <f t="shared" si="545"/>
        <v>0</v>
      </c>
      <c r="AJ206" s="110"/>
      <c r="AK206" s="80" t="s">
        <v>2171</v>
      </c>
      <c r="AL206" s="73">
        <f t="shared" si="545"/>
        <v>0</v>
      </c>
      <c r="AM206" s="110"/>
      <c r="AN206" s="80" t="s">
        <v>2195</v>
      </c>
      <c r="AO206" s="73">
        <f t="shared" si="545"/>
        <v>0</v>
      </c>
      <c r="AP206" s="110"/>
      <c r="AQ206" s="80" t="s">
        <v>2217</v>
      </c>
      <c r="AR206" s="73">
        <f t="shared" si="545"/>
        <v>0</v>
      </c>
      <c r="AS206" s="110"/>
      <c r="AT206" s="80" t="s">
        <v>2171</v>
      </c>
      <c r="AU206" s="73">
        <f t="shared" si="545"/>
        <v>0</v>
      </c>
      <c r="AV206" s="110"/>
      <c r="AW206" s="80" t="s">
        <v>2242</v>
      </c>
      <c r="AX206" s="73">
        <f t="shared" si="545"/>
        <v>0</v>
      </c>
      <c r="AY206" s="110"/>
      <c r="AZ206" s="80" t="s">
        <v>2291</v>
      </c>
      <c r="BA206" s="73">
        <f t="shared" si="545"/>
        <v>0</v>
      </c>
      <c r="BB206" s="110"/>
      <c r="BC206" s="80" t="s">
        <v>2414</v>
      </c>
      <c r="BD206" s="73">
        <f t="shared" si="545"/>
        <v>0</v>
      </c>
      <c r="BE206" s="110"/>
      <c r="BF206" s="80" t="s">
        <v>2316</v>
      </c>
      <c r="BG206" s="73">
        <f t="shared" si="545"/>
        <v>0</v>
      </c>
      <c r="BH206" s="110"/>
      <c r="BI206" s="80" t="s">
        <v>2336</v>
      </c>
      <c r="BJ206" s="73">
        <f t="shared" si="545"/>
        <v>0</v>
      </c>
      <c r="BK206" s="110"/>
      <c r="BL206" s="80" t="s">
        <v>2171</v>
      </c>
      <c r="BM206" s="73">
        <f t="shared" si="545"/>
        <v>0</v>
      </c>
      <c r="BN206" s="110"/>
      <c r="BO206" s="80" t="s">
        <v>2377</v>
      </c>
      <c r="BP206" s="73">
        <f t="shared" si="545"/>
        <v>0</v>
      </c>
      <c r="BQ206" s="110"/>
      <c r="BR206" s="80" t="s">
        <v>2112</v>
      </c>
      <c r="BS206" s="73">
        <f t="shared" si="545"/>
        <v>0</v>
      </c>
      <c r="BT206" s="110"/>
      <c r="BU206" s="80" t="s">
        <v>2395</v>
      </c>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60</v>
      </c>
      <c r="G207" s="407">
        <f ca="1">VLOOKUP(H207,Equipos!$Q$1:$R$25,2,0)</f>
        <v>21</v>
      </c>
      <c r="H207" s="65" t="str">
        <f>Idiomas!$D$261</f>
        <v>Octavos de final</v>
      </c>
      <c r="I207" s="43">
        <v>2</v>
      </c>
      <c r="J207" s="794"/>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1979</v>
      </c>
      <c r="T207" s="85">
        <f t="shared" si="570"/>
        <v>0</v>
      </c>
      <c r="U207" s="110"/>
      <c r="V207" s="74" t="s">
        <v>2017</v>
      </c>
      <c r="W207" s="85">
        <f t="shared" si="545"/>
        <v>0</v>
      </c>
      <c r="X207" s="110"/>
      <c r="Y207" s="80" t="s">
        <v>2060</v>
      </c>
      <c r="Z207" s="85">
        <f t="shared" si="545"/>
        <v>0</v>
      </c>
      <c r="AA207" s="110"/>
      <c r="AB207" s="80" t="s">
        <v>2086</v>
      </c>
      <c r="AC207" s="85">
        <f t="shared" si="545"/>
        <v>0</v>
      </c>
      <c r="AD207" s="110"/>
      <c r="AE207" s="80" t="s">
        <v>2145</v>
      </c>
      <c r="AF207" s="85">
        <f t="shared" si="545"/>
        <v>0</v>
      </c>
      <c r="AG207" s="110"/>
      <c r="AH207" s="80" t="s">
        <v>2113</v>
      </c>
      <c r="AI207" s="85">
        <f t="shared" si="545"/>
        <v>0</v>
      </c>
      <c r="AJ207" s="110"/>
      <c r="AK207" s="80" t="s">
        <v>2172</v>
      </c>
      <c r="AL207" s="85">
        <f t="shared" si="545"/>
        <v>0</v>
      </c>
      <c r="AM207" s="110"/>
      <c r="AN207" s="80" t="s">
        <v>2196</v>
      </c>
      <c r="AO207" s="85">
        <f t="shared" si="545"/>
        <v>0</v>
      </c>
      <c r="AP207" s="110"/>
      <c r="AQ207" s="80" t="s">
        <v>2113</v>
      </c>
      <c r="AR207" s="85">
        <f t="shared" si="545"/>
        <v>0</v>
      </c>
      <c r="AS207" s="110"/>
      <c r="AT207" s="80" t="s">
        <v>2268</v>
      </c>
      <c r="AU207" s="85">
        <f t="shared" si="545"/>
        <v>0</v>
      </c>
      <c r="AV207" s="110"/>
      <c r="AW207" s="80" t="s">
        <v>2113</v>
      </c>
      <c r="AX207" s="85">
        <f t="shared" si="545"/>
        <v>0</v>
      </c>
      <c r="AY207" s="110"/>
      <c r="AZ207" s="80" t="s">
        <v>2292</v>
      </c>
      <c r="BA207" s="85">
        <f t="shared" si="545"/>
        <v>0</v>
      </c>
      <c r="BB207" s="110"/>
      <c r="BC207" s="80" t="s">
        <v>2113</v>
      </c>
      <c r="BD207" s="85">
        <f t="shared" si="545"/>
        <v>0</v>
      </c>
      <c r="BE207" s="110"/>
      <c r="BF207" s="80" t="s">
        <v>2113</v>
      </c>
      <c r="BG207" s="85">
        <f t="shared" si="545"/>
        <v>0</v>
      </c>
      <c r="BH207" s="110"/>
      <c r="BI207" s="80" t="s">
        <v>2337</v>
      </c>
      <c r="BJ207" s="85">
        <f t="shared" si="545"/>
        <v>0</v>
      </c>
      <c r="BK207" s="110"/>
      <c r="BL207" s="80" t="s">
        <v>2358</v>
      </c>
      <c r="BM207" s="85">
        <f t="shared" si="545"/>
        <v>0</v>
      </c>
      <c r="BN207" s="110"/>
      <c r="BO207" s="80" t="s">
        <v>2337</v>
      </c>
      <c r="BP207" s="85">
        <f t="shared" si="545"/>
        <v>0</v>
      </c>
      <c r="BQ207" s="110"/>
      <c r="BR207" s="80" t="s">
        <v>2086</v>
      </c>
      <c r="BS207" s="85">
        <f t="shared" si="545"/>
        <v>0</v>
      </c>
      <c r="BT207" s="110"/>
      <c r="BU207" s="80" t="s">
        <v>2086</v>
      </c>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480</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20</v>
      </c>
      <c r="G210" s="407">
        <f ca="1">VLOOKUP(H210,Equipos!$Q$1:$R$25,2,0)</f>
        <v>21</v>
      </c>
      <c r="H210" s="65" t="str">
        <f>Idiomas!$D$261</f>
        <v>Octavos de final</v>
      </c>
      <c r="I210" s="50"/>
      <c r="J210" s="794" t="s">
        <v>34</v>
      </c>
      <c r="K210" s="53" t="str">
        <f>Idiomas!$D$200&amp;"-"&amp;ROWS($L$210:L210)</f>
        <v>Cuartofinalista-1</v>
      </c>
      <c r="L210" s="53"/>
      <c r="M210" s="55" t="str">
        <f>WORLDCUP!AA131</f>
        <v>W89</v>
      </c>
      <c r="N210" s="25"/>
      <c r="O210" s="25"/>
      <c r="P210" s="25"/>
      <c r="Q210" s="25"/>
      <c r="R210" s="110"/>
      <c r="S210" s="76" t="s">
        <v>135</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74</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77</v>
      </c>
      <c r="AU210" s="77">
        <f t="shared" ref="AU210:AU217" si="604">COUNTIF($M$210:$M$217,AT210)*$D$23</f>
        <v>0</v>
      </c>
      <c r="AV210" s="110"/>
      <c r="AW210" s="76" t="s">
        <v>74</v>
      </c>
      <c r="AX210" s="77">
        <f t="shared" ref="AX210:AX217" si="605">COUNTIF($M$210:$M$217,AW210)*$D$23</f>
        <v>0</v>
      </c>
      <c r="AY210" s="110"/>
      <c r="AZ210" s="76" t="s">
        <v>74</v>
      </c>
      <c r="BA210" s="77">
        <f t="shared" ref="BA210:BA217" si="606">COUNTIF($M$210:$M$217,AZ210)*$D$23</f>
        <v>0</v>
      </c>
      <c r="BB210" s="110"/>
      <c r="BC210" s="76" t="s">
        <v>77</v>
      </c>
      <c r="BD210" s="77">
        <f t="shared" ref="BD210:BD217" si="607">COUNTIF($M$210:$M$217,BC210)*$D$23</f>
        <v>0</v>
      </c>
      <c r="BE210" s="110"/>
      <c r="BF210" s="76" t="s">
        <v>74</v>
      </c>
      <c r="BG210" s="77">
        <f t="shared" ref="BG210:BG217" si="608">COUNTIF($M$210:$M$217,BF210)*$D$23</f>
        <v>0</v>
      </c>
      <c r="BH210" s="110"/>
      <c r="BI210" s="76" t="s">
        <v>77</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20</v>
      </c>
      <c r="G211" s="407">
        <f ca="1">VLOOKUP(H211,Equipos!$Q$1:$R$25,2,0)</f>
        <v>21</v>
      </c>
      <c r="H211" s="65" t="str">
        <f>Idiomas!$D$261</f>
        <v>Octavos de final</v>
      </c>
      <c r="I211" s="50"/>
      <c r="J211" s="794"/>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t="s">
        <v>38</v>
      </c>
      <c r="AC211" s="73">
        <f t="shared" si="598"/>
        <v>0</v>
      </c>
      <c r="AD211" s="110"/>
      <c r="AE211" s="74" t="s">
        <v>38</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38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20</v>
      </c>
      <c r="G212" s="407">
        <f ca="1">VLOOKUP(H212,Equipos!$Q$1:$R$25,2,0)</f>
        <v>21</v>
      </c>
      <c r="H212" s="65" t="str">
        <f>Idiomas!$D$261</f>
        <v>Octavos de final</v>
      </c>
      <c r="I212" s="50"/>
      <c r="J212" s="794"/>
      <c r="K212" s="56" t="str">
        <f>Idiomas!$D$200&amp;"-"&amp;ROWS($L$210:L212)</f>
        <v>Cuartofinalista-3</v>
      </c>
      <c r="L212" s="53"/>
      <c r="M212" s="55" t="str">
        <f>WORLDCUP!AA133</f>
        <v>W91</v>
      </c>
      <c r="N212" s="25"/>
      <c r="O212" s="25"/>
      <c r="P212" s="25"/>
      <c r="Q212" s="25"/>
      <c r="R212" s="110"/>
      <c r="S212" s="74" t="s">
        <v>74</v>
      </c>
      <c r="T212" s="73">
        <f t="shared" si="595"/>
        <v>0</v>
      </c>
      <c r="U212" s="110"/>
      <c r="V212" s="74" t="s">
        <v>77</v>
      </c>
      <c r="W212" s="73">
        <f t="shared" si="596"/>
        <v>0</v>
      </c>
      <c r="X212" s="110"/>
      <c r="Y212" s="74" t="s">
        <v>135</v>
      </c>
      <c r="Z212" s="73">
        <f t="shared" si="597"/>
        <v>0</v>
      </c>
      <c r="AA212" s="110"/>
      <c r="AB212" s="74" t="s">
        <v>1634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1321</v>
      </c>
      <c r="AU212" s="73">
        <f t="shared" si="604"/>
        <v>0</v>
      </c>
      <c r="AV212" s="110"/>
      <c r="AW212" s="74" t="s">
        <v>1258</v>
      </c>
      <c r="AX212" s="73">
        <f t="shared" si="605"/>
        <v>0</v>
      </c>
      <c r="AY212" s="110"/>
      <c r="AZ212" s="74" t="s">
        <v>1321</v>
      </c>
      <c r="BA212" s="73">
        <f t="shared" si="606"/>
        <v>0</v>
      </c>
      <c r="BB212" s="110"/>
      <c r="BC212" s="74" t="s">
        <v>74</v>
      </c>
      <c r="BD212" s="73">
        <f t="shared" si="607"/>
        <v>0</v>
      </c>
      <c r="BE212" s="110"/>
      <c r="BF212" s="74" t="s">
        <v>1258</v>
      </c>
      <c r="BG212" s="73">
        <f t="shared" si="608"/>
        <v>0</v>
      </c>
      <c r="BH212" s="110"/>
      <c r="BI212" s="74" t="s">
        <v>1261</v>
      </c>
      <c r="BJ212" s="73">
        <f t="shared" si="609"/>
        <v>0</v>
      </c>
      <c r="BK212" s="110"/>
      <c r="BL212" s="74" t="s">
        <v>1634</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20</v>
      </c>
      <c r="G213" s="407">
        <f ca="1">VLOOKUP(H213,Equipos!$Q$1:$R$25,2,0)</f>
        <v>21</v>
      </c>
      <c r="H213" s="65" t="str">
        <f>Idiomas!$D$261</f>
        <v>Octavos de final</v>
      </c>
      <c r="I213" s="50"/>
      <c r="J213" s="794"/>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1256</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1318</v>
      </c>
      <c r="BA213" s="73">
        <f t="shared" si="606"/>
        <v>0</v>
      </c>
      <c r="BB213" s="110"/>
      <c r="BC213" s="74" t="s">
        <v>1256</v>
      </c>
      <c r="BD213" s="73">
        <f t="shared" si="607"/>
        <v>0</v>
      </c>
      <c r="BE213" s="110"/>
      <c r="BF213" s="74" t="s">
        <v>1256</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20</v>
      </c>
      <c r="G214" s="407">
        <f ca="1">VLOOKUP(H214,Equipos!$Q$1:$R$25,2,0)</f>
        <v>21</v>
      </c>
      <c r="H214" s="65" t="str">
        <f>Idiomas!$D$261</f>
        <v>Octavos de final</v>
      </c>
      <c r="I214" s="50"/>
      <c r="J214" s="794"/>
      <c r="K214" s="56" t="str">
        <f>Idiomas!$D$200&amp;"-"&amp;ROWS($L$210:L214)</f>
        <v>Cuartofinalista-5</v>
      </c>
      <c r="L214" s="53"/>
      <c r="M214" s="55" t="str">
        <f>WORLDCUP!AF131</f>
        <v>W90</v>
      </c>
      <c r="N214" s="25"/>
      <c r="O214" s="25"/>
      <c r="P214" s="25"/>
      <c r="Q214" s="25"/>
      <c r="R214" s="110"/>
      <c r="S214" s="74" t="s">
        <v>1321</v>
      </c>
      <c r="T214" s="73">
        <f t="shared" si="595"/>
        <v>0</v>
      </c>
      <c r="U214" s="110"/>
      <c r="V214" s="74" t="s">
        <v>111</v>
      </c>
      <c r="W214" s="73">
        <f t="shared" si="596"/>
        <v>0</v>
      </c>
      <c r="X214" s="110"/>
      <c r="Y214" s="74" t="s">
        <v>111</v>
      </c>
      <c r="Z214" s="73">
        <f t="shared" si="597"/>
        <v>0</v>
      </c>
      <c r="AA214" s="110"/>
      <c r="AB214" s="74" t="s">
        <v>111</v>
      </c>
      <c r="AC214" s="73">
        <f t="shared" si="598"/>
        <v>0</v>
      </c>
      <c r="AD214" s="110"/>
      <c r="AE214" s="74" t="s">
        <v>1321</v>
      </c>
      <c r="AF214" s="73">
        <f t="shared" si="599"/>
        <v>0</v>
      </c>
      <c r="AG214" s="110"/>
      <c r="AH214" s="74" t="s">
        <v>111</v>
      </c>
      <c r="AI214" s="73">
        <f t="shared" si="600"/>
        <v>0</v>
      </c>
      <c r="AJ214" s="110"/>
      <c r="AK214" s="74" t="s">
        <v>1321</v>
      </c>
      <c r="AL214" s="73">
        <f t="shared" si="601"/>
        <v>0</v>
      </c>
      <c r="AM214" s="110"/>
      <c r="AN214" s="74" t="s">
        <v>111</v>
      </c>
      <c r="AO214" s="73">
        <f t="shared" si="602"/>
        <v>0</v>
      </c>
      <c r="AP214" s="110"/>
      <c r="AQ214" s="74" t="s">
        <v>111</v>
      </c>
      <c r="AR214" s="73">
        <f t="shared" si="603"/>
        <v>0</v>
      </c>
      <c r="AS214" s="110"/>
      <c r="AT214" s="74" t="s">
        <v>1258</v>
      </c>
      <c r="AU214" s="73">
        <f t="shared" si="604"/>
        <v>0</v>
      </c>
      <c r="AV214" s="110"/>
      <c r="AW214" s="74" t="s">
        <v>111</v>
      </c>
      <c r="AX214" s="73">
        <f t="shared" si="605"/>
        <v>0</v>
      </c>
      <c r="AY214" s="110"/>
      <c r="AZ214" s="74" t="s">
        <v>1258</v>
      </c>
      <c r="BA214" s="73">
        <f t="shared" si="606"/>
        <v>0</v>
      </c>
      <c r="BB214" s="110"/>
      <c r="BC214" s="74" t="s">
        <v>1263</v>
      </c>
      <c r="BD214" s="73">
        <f t="shared" si="607"/>
        <v>0</v>
      </c>
      <c r="BE214" s="110"/>
      <c r="BF214" s="74" t="s">
        <v>111</v>
      </c>
      <c r="BG214" s="73">
        <f t="shared" si="608"/>
        <v>0</v>
      </c>
      <c r="BH214" s="110"/>
      <c r="BI214" s="74" t="s">
        <v>1321</v>
      </c>
      <c r="BJ214" s="73">
        <f t="shared" si="609"/>
        <v>0</v>
      </c>
      <c r="BK214" s="110"/>
      <c r="BL214" s="74" t="s">
        <v>111</v>
      </c>
      <c r="BM214" s="73">
        <f t="shared" si="610"/>
        <v>0</v>
      </c>
      <c r="BN214" s="110"/>
      <c r="BO214" s="74" t="s">
        <v>111</v>
      </c>
      <c r="BP214" s="73">
        <f t="shared" si="611"/>
        <v>0</v>
      </c>
      <c r="BQ214" s="110"/>
      <c r="BR214" s="74" t="s">
        <v>111</v>
      </c>
      <c r="BS214" s="73">
        <f t="shared" si="612"/>
        <v>0</v>
      </c>
      <c r="BT214" s="110"/>
      <c r="BU214" s="74" t="s">
        <v>1321</v>
      </c>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20</v>
      </c>
      <c r="G215" s="407">
        <f ca="1">VLOOKUP(H215,Equipos!$Q$1:$R$25,2,0)</f>
        <v>21</v>
      </c>
      <c r="H215" s="65" t="str">
        <f>Idiomas!$D$261</f>
        <v>Octavos de final</v>
      </c>
      <c r="I215" s="50"/>
      <c r="J215" s="794"/>
      <c r="K215" s="56" t="str">
        <f>Idiomas!$D$200&amp;"-"&amp;ROWS($L$210:L215)</f>
        <v>Cuartofinalista-6</v>
      </c>
      <c r="L215" s="53"/>
      <c r="M215" s="55" t="str">
        <f>WORLDCUP!AF132</f>
        <v>W94</v>
      </c>
      <c r="N215" s="25"/>
      <c r="O215" s="25"/>
      <c r="P215" s="25"/>
      <c r="Q215" s="25"/>
      <c r="R215" s="110"/>
      <c r="S215" s="74" t="s">
        <v>1835</v>
      </c>
      <c r="T215" s="73">
        <f t="shared" si="595"/>
        <v>0</v>
      </c>
      <c r="U215" s="110"/>
      <c r="V215" s="74" t="s">
        <v>110</v>
      </c>
      <c r="W215" s="73">
        <f t="shared" si="596"/>
        <v>0</v>
      </c>
      <c r="X215" s="110"/>
      <c r="Y215" s="74" t="s">
        <v>1841</v>
      </c>
      <c r="Z215" s="73">
        <f t="shared" si="597"/>
        <v>0</v>
      </c>
      <c r="AA215" s="110"/>
      <c r="AB215" s="74" t="s">
        <v>110</v>
      </c>
      <c r="AC215" s="73">
        <f t="shared" si="598"/>
        <v>0</v>
      </c>
      <c r="AD215" s="110"/>
      <c r="AE215" s="74" t="s">
        <v>110</v>
      </c>
      <c r="AF215" s="73">
        <f t="shared" si="599"/>
        <v>0</v>
      </c>
      <c r="AG215" s="110"/>
      <c r="AH215" s="74" t="s">
        <v>110</v>
      </c>
      <c r="AI215" s="73">
        <f t="shared" si="600"/>
        <v>0</v>
      </c>
      <c r="AJ215" s="110"/>
      <c r="AK215" s="74" t="s">
        <v>110</v>
      </c>
      <c r="AL215" s="73">
        <f t="shared" si="601"/>
        <v>0</v>
      </c>
      <c r="AM215" s="110"/>
      <c r="AN215" s="74" t="s">
        <v>110</v>
      </c>
      <c r="AO215" s="73">
        <f t="shared" si="602"/>
        <v>0</v>
      </c>
      <c r="AP215" s="110"/>
      <c r="AQ215" s="74" t="s">
        <v>1835</v>
      </c>
      <c r="AR215" s="73">
        <f t="shared" si="603"/>
        <v>0</v>
      </c>
      <c r="AS215" s="110"/>
      <c r="AT215" s="74" t="s">
        <v>110</v>
      </c>
      <c r="AU215" s="73">
        <f t="shared" si="604"/>
        <v>0</v>
      </c>
      <c r="AV215" s="110"/>
      <c r="AW215" s="74" t="s">
        <v>1835</v>
      </c>
      <c r="AX215" s="73">
        <f t="shared" si="605"/>
        <v>0</v>
      </c>
      <c r="AY215" s="110"/>
      <c r="AZ215" s="74" t="s">
        <v>1835</v>
      </c>
      <c r="BA215" s="73">
        <f t="shared" si="606"/>
        <v>0</v>
      </c>
      <c r="BB215" s="110"/>
      <c r="BC215" s="74" t="s">
        <v>110</v>
      </c>
      <c r="BD215" s="73">
        <f t="shared" si="607"/>
        <v>0</v>
      </c>
      <c r="BE215" s="110"/>
      <c r="BF215" s="74" t="s">
        <v>110</v>
      </c>
      <c r="BG215" s="73">
        <f t="shared" si="608"/>
        <v>0</v>
      </c>
      <c r="BH215" s="110"/>
      <c r="BI215" s="74" t="s">
        <v>1835</v>
      </c>
      <c r="BJ215" s="73">
        <f t="shared" si="609"/>
        <v>0</v>
      </c>
      <c r="BK215" s="110"/>
      <c r="BL215" s="74" t="s">
        <v>110</v>
      </c>
      <c r="BM215" s="73">
        <f t="shared" si="610"/>
        <v>0</v>
      </c>
      <c r="BN215" s="110"/>
      <c r="BO215" s="74" t="s">
        <v>110</v>
      </c>
      <c r="BP215" s="73">
        <f t="shared" si="611"/>
        <v>0</v>
      </c>
      <c r="BQ215" s="110"/>
      <c r="BR215" s="74" t="s">
        <v>110</v>
      </c>
      <c r="BS215" s="73">
        <f t="shared" si="612"/>
        <v>0</v>
      </c>
      <c r="BT215" s="110"/>
      <c r="BU215" s="74" t="s">
        <v>110</v>
      </c>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20</v>
      </c>
      <c r="G216" s="407">
        <f ca="1">VLOOKUP(H216,Equipos!$Q$1:$R$25,2,0)</f>
        <v>21</v>
      </c>
      <c r="H216" s="65" t="str">
        <f>Idiomas!$D$261</f>
        <v>Octavos de final</v>
      </c>
      <c r="I216" s="50"/>
      <c r="J216" s="794"/>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77</v>
      </c>
      <c r="Z216" s="73">
        <f t="shared" si="597"/>
        <v>0</v>
      </c>
      <c r="AA216" s="110"/>
      <c r="AB216" s="74" t="s">
        <v>76</v>
      </c>
      <c r="AC216" s="73">
        <f t="shared" si="598"/>
        <v>0</v>
      </c>
      <c r="AD216" s="110"/>
      <c r="AE216" s="74" t="s">
        <v>1265</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135</v>
      </c>
      <c r="AU216" s="73">
        <f t="shared" si="604"/>
        <v>0</v>
      </c>
      <c r="AV216" s="110"/>
      <c r="AW216" s="74" t="s">
        <v>1260</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76</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20</v>
      </c>
      <c r="G217" s="407">
        <f ca="1">VLOOKUP(H217,Equipos!$Q$1:$R$25,2,0)</f>
        <v>21</v>
      </c>
      <c r="H217" s="65" t="str">
        <f>Idiomas!$D$261</f>
        <v>Octavos de final</v>
      </c>
      <c r="I217" s="50"/>
      <c r="J217" s="794"/>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160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90</v>
      </c>
      <c r="G220" s="407">
        <f ca="1">VLOOKUP(H220,Equipos!$Q$1:$R$25,2,0)</f>
        <v>22</v>
      </c>
      <c r="H220" s="65" t="str">
        <f>Idiomas!$D$262</f>
        <v>Cuartos de final</v>
      </c>
      <c r="I220" s="43">
        <v>2</v>
      </c>
      <c r="J220" s="794"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1980</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2018</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2018</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2018</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2146</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2018</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2018</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2218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2269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2243</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2151</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2415</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2018</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2338</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2359</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2243</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2018</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2396</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90</v>
      </c>
      <c r="G221" s="407">
        <f ca="1">VLOOKUP(H221,Equipos!$Q$1:$R$25,2,0)</f>
        <v>22</v>
      </c>
      <c r="H221" s="65" t="str">
        <f>Idiomas!$D$262</f>
        <v>Cuartos de final</v>
      </c>
      <c r="I221" s="43">
        <v>2</v>
      </c>
      <c r="J221" s="794"/>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1981</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2019</v>
      </c>
      <c r="W221" s="77">
        <f t="shared" si="647"/>
        <v>0</v>
      </c>
      <c r="X221" s="110"/>
      <c r="Y221" s="74" t="s">
        <v>2061</v>
      </c>
      <c r="Z221" s="77">
        <f t="shared" si="647"/>
        <v>0</v>
      </c>
      <c r="AA221" s="110"/>
      <c r="AB221" s="74" t="s">
        <v>2087</v>
      </c>
      <c r="AC221" s="77">
        <f t="shared" si="647"/>
        <v>0</v>
      </c>
      <c r="AD221" s="110"/>
      <c r="AE221" s="74" t="s">
        <v>2147</v>
      </c>
      <c r="AF221" s="77">
        <f t="shared" si="647"/>
        <v>0</v>
      </c>
      <c r="AG221" s="110"/>
      <c r="AH221" s="74" t="s">
        <v>2087</v>
      </c>
      <c r="AI221" s="77">
        <f t="shared" si="647"/>
        <v>0</v>
      </c>
      <c r="AJ221" s="110"/>
      <c r="AK221" s="74" t="s">
        <v>2019</v>
      </c>
      <c r="AL221" s="77">
        <f t="shared" si="647"/>
        <v>0</v>
      </c>
      <c r="AM221" s="110"/>
      <c r="AN221" s="74" t="s">
        <v>2197</v>
      </c>
      <c r="AO221" s="77">
        <f t="shared" si="647"/>
        <v>0</v>
      </c>
      <c r="AP221" s="110"/>
      <c r="AQ221" s="74" t="s">
        <v>2219</v>
      </c>
      <c r="AR221" s="77">
        <f t="shared" si="647"/>
        <v>0</v>
      </c>
      <c r="AS221" s="110"/>
      <c r="AT221" s="74" t="s">
        <v>2270</v>
      </c>
      <c r="AU221" s="77">
        <f t="shared" si="647"/>
        <v>0</v>
      </c>
      <c r="AV221" s="110"/>
      <c r="AW221" s="74" t="s">
        <v>2219</v>
      </c>
      <c r="AX221" s="77">
        <f t="shared" si="647"/>
        <v>0</v>
      </c>
      <c r="AY221" s="110"/>
      <c r="AZ221" s="74" t="s">
        <v>2293</v>
      </c>
      <c r="BA221" s="77">
        <f t="shared" si="647"/>
        <v>0</v>
      </c>
      <c r="BB221" s="110"/>
      <c r="BC221" s="74" t="s">
        <v>2087</v>
      </c>
      <c r="BD221" s="77">
        <f t="shared" si="647"/>
        <v>0</v>
      </c>
      <c r="BE221" s="110"/>
      <c r="BF221" s="74" t="s">
        <v>2317</v>
      </c>
      <c r="BG221" s="77">
        <f t="shared" si="647"/>
        <v>0</v>
      </c>
      <c r="BH221" s="110"/>
      <c r="BI221" s="74" t="s">
        <v>2339</v>
      </c>
      <c r="BJ221" s="77">
        <f t="shared" si="647"/>
        <v>0</v>
      </c>
      <c r="BK221" s="110"/>
      <c r="BL221" s="74" t="s">
        <v>2019</v>
      </c>
      <c r="BM221" s="77">
        <f t="shared" si="647"/>
        <v>0</v>
      </c>
      <c r="BN221" s="110"/>
      <c r="BO221" s="74" t="s">
        <v>2270</v>
      </c>
      <c r="BP221" s="77">
        <f t="shared" si="647"/>
        <v>0</v>
      </c>
      <c r="BQ221" s="110"/>
      <c r="BR221" s="74" t="s">
        <v>2087</v>
      </c>
      <c r="BS221" s="77">
        <f t="shared" si="647"/>
        <v>0</v>
      </c>
      <c r="BT221" s="110"/>
      <c r="BU221" s="74" t="s">
        <v>2087</v>
      </c>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90</v>
      </c>
      <c r="G222" s="407">
        <f ca="1">VLOOKUP(H222,Equipos!$Q$1:$R$25,2,0)</f>
        <v>22</v>
      </c>
      <c r="H222" s="65" t="str">
        <f>Idiomas!$D$262</f>
        <v>Cuartos de final</v>
      </c>
      <c r="I222" s="43">
        <v>2</v>
      </c>
      <c r="J222" s="794"/>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1982</v>
      </c>
      <c r="T222" s="77">
        <f t="shared" si="672"/>
        <v>0</v>
      </c>
      <c r="U222" s="110"/>
      <c r="V222" s="74" t="s">
        <v>2020</v>
      </c>
      <c r="W222" s="77">
        <f t="shared" si="647"/>
        <v>0</v>
      </c>
      <c r="X222" s="110"/>
      <c r="Y222" s="74" t="s">
        <v>2062</v>
      </c>
      <c r="Z222" s="77">
        <f t="shared" si="647"/>
        <v>0</v>
      </c>
      <c r="AA222" s="110"/>
      <c r="AB222" s="74" t="s">
        <v>2088</v>
      </c>
      <c r="AC222" s="77">
        <f t="shared" si="647"/>
        <v>0</v>
      </c>
      <c r="AD222" s="110"/>
      <c r="AE222" s="74" t="s">
        <v>2148</v>
      </c>
      <c r="AF222" s="77">
        <f t="shared" si="647"/>
        <v>0</v>
      </c>
      <c r="AG222" s="110"/>
      <c r="AH222" s="74" t="s">
        <v>2114</v>
      </c>
      <c r="AI222" s="77">
        <f t="shared" si="647"/>
        <v>0</v>
      </c>
      <c r="AJ222" s="110"/>
      <c r="AK222" s="74" t="s">
        <v>2174</v>
      </c>
      <c r="AL222" s="77">
        <f t="shared" si="647"/>
        <v>0</v>
      </c>
      <c r="AM222" s="110"/>
      <c r="AN222" s="74" t="s">
        <v>2174</v>
      </c>
      <c r="AO222" s="77">
        <f t="shared" si="647"/>
        <v>0</v>
      </c>
      <c r="AP222" s="110"/>
      <c r="AQ222" s="74" t="s">
        <v>2220</v>
      </c>
      <c r="AR222" s="77">
        <f t="shared" si="647"/>
        <v>0</v>
      </c>
      <c r="AS222" s="110"/>
      <c r="AT222" s="74" t="s">
        <v>2271</v>
      </c>
      <c r="AU222" s="77">
        <f t="shared" si="647"/>
        <v>0</v>
      </c>
      <c r="AV222" s="110"/>
      <c r="AW222" s="74" t="s">
        <v>2244</v>
      </c>
      <c r="AX222" s="77">
        <f t="shared" si="647"/>
        <v>0</v>
      </c>
      <c r="AY222" s="110"/>
      <c r="AZ222" s="74" t="s">
        <v>2294</v>
      </c>
      <c r="BA222" s="77">
        <f t="shared" si="647"/>
        <v>0</v>
      </c>
      <c r="BB222" s="110"/>
      <c r="BC222" s="74" t="s">
        <v>2416</v>
      </c>
      <c r="BD222" s="77">
        <f t="shared" si="647"/>
        <v>0</v>
      </c>
      <c r="BE222" s="110"/>
      <c r="BF222" s="74" t="s">
        <v>2318</v>
      </c>
      <c r="BG222" s="77">
        <f t="shared" si="647"/>
        <v>0</v>
      </c>
      <c r="BH222" s="110"/>
      <c r="BI222" s="74" t="s">
        <v>2340</v>
      </c>
      <c r="BJ222" s="77">
        <f t="shared" si="647"/>
        <v>0</v>
      </c>
      <c r="BK222" s="110"/>
      <c r="BL222" s="74" t="s">
        <v>2360</v>
      </c>
      <c r="BM222" s="77">
        <f t="shared" si="647"/>
        <v>0</v>
      </c>
      <c r="BN222" s="110"/>
      <c r="BO222" s="74" t="s">
        <v>2174</v>
      </c>
      <c r="BP222" s="77">
        <f t="shared" si="647"/>
        <v>0</v>
      </c>
      <c r="BQ222" s="110"/>
      <c r="BR222" s="74" t="s">
        <v>2174</v>
      </c>
      <c r="BS222" s="77">
        <f t="shared" si="647"/>
        <v>0</v>
      </c>
      <c r="BT222" s="110"/>
      <c r="BU222" s="74" t="s">
        <v>2174</v>
      </c>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90</v>
      </c>
      <c r="G223" s="407">
        <f ca="1">VLOOKUP(H223,Equipos!$Q$1:$R$25,2,0)</f>
        <v>22</v>
      </c>
      <c r="H223" s="65" t="str">
        <f>Idiomas!$D$262</f>
        <v>Cuartos de final</v>
      </c>
      <c r="I223" s="43">
        <v>2</v>
      </c>
      <c r="J223" s="794"/>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1983</v>
      </c>
      <c r="T223" s="81">
        <f t="shared" si="672"/>
        <v>0</v>
      </c>
      <c r="U223" s="110"/>
      <c r="V223" s="80" t="s">
        <v>2021</v>
      </c>
      <c r="W223" s="81">
        <f t="shared" si="647"/>
        <v>0</v>
      </c>
      <c r="X223" s="110"/>
      <c r="Y223" s="80" t="s">
        <v>2021</v>
      </c>
      <c r="Z223" s="81">
        <f t="shared" si="647"/>
        <v>0</v>
      </c>
      <c r="AA223" s="110"/>
      <c r="AB223" s="80" t="s">
        <v>2089</v>
      </c>
      <c r="AC223" s="81">
        <f t="shared" si="647"/>
        <v>0</v>
      </c>
      <c r="AD223" s="110"/>
      <c r="AE223" s="80" t="s">
        <v>2149</v>
      </c>
      <c r="AF223" s="81">
        <f t="shared" si="647"/>
        <v>0</v>
      </c>
      <c r="AG223" s="110"/>
      <c r="AH223" s="80" t="s">
        <v>2115</v>
      </c>
      <c r="AI223" s="81">
        <f t="shared" si="647"/>
        <v>0</v>
      </c>
      <c r="AJ223" s="110"/>
      <c r="AK223" s="80" t="s">
        <v>2149</v>
      </c>
      <c r="AL223" s="81">
        <f t="shared" si="647"/>
        <v>0</v>
      </c>
      <c r="AM223" s="110"/>
      <c r="AN223" s="80" t="s">
        <v>2198</v>
      </c>
      <c r="AO223" s="81">
        <f t="shared" si="647"/>
        <v>0</v>
      </c>
      <c r="AP223" s="110"/>
      <c r="AQ223" s="80" t="s">
        <v>1983</v>
      </c>
      <c r="AR223" s="81">
        <f t="shared" si="647"/>
        <v>0</v>
      </c>
      <c r="AS223" s="110"/>
      <c r="AT223" s="80" t="s">
        <v>2198</v>
      </c>
      <c r="AU223" s="81">
        <f t="shared" si="647"/>
        <v>0</v>
      </c>
      <c r="AV223" s="110"/>
      <c r="AW223" s="80" t="s">
        <v>2245</v>
      </c>
      <c r="AX223" s="81">
        <f t="shared" si="647"/>
        <v>0</v>
      </c>
      <c r="AY223" s="110"/>
      <c r="AZ223" s="80" t="s">
        <v>2295</v>
      </c>
      <c r="BA223" s="81">
        <f t="shared" si="647"/>
        <v>0</v>
      </c>
      <c r="BB223" s="110"/>
      <c r="BC223" s="80" t="s">
        <v>2245</v>
      </c>
      <c r="BD223" s="81">
        <f t="shared" si="647"/>
        <v>0</v>
      </c>
      <c r="BE223" s="110"/>
      <c r="BF223" s="80" t="s">
        <v>2198</v>
      </c>
      <c r="BG223" s="81">
        <f t="shared" si="647"/>
        <v>0</v>
      </c>
      <c r="BH223" s="110"/>
      <c r="BI223" s="80" t="s">
        <v>2245</v>
      </c>
      <c r="BJ223" s="81">
        <f t="shared" si="647"/>
        <v>0</v>
      </c>
      <c r="BK223" s="110"/>
      <c r="BL223" s="80" t="s">
        <v>2115</v>
      </c>
      <c r="BM223" s="81">
        <f t="shared" si="647"/>
        <v>0</v>
      </c>
      <c r="BN223" s="110"/>
      <c r="BO223" s="80" t="s">
        <v>2245</v>
      </c>
      <c r="BP223" s="81">
        <f t="shared" si="647"/>
        <v>0</v>
      </c>
      <c r="BQ223" s="110"/>
      <c r="BR223" s="80" t="s">
        <v>1983</v>
      </c>
      <c r="BS223" s="81">
        <f t="shared" si="647"/>
        <v>0</v>
      </c>
      <c r="BT223" s="110"/>
      <c r="BU223" s="80" t="s">
        <v>2198</v>
      </c>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360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25</v>
      </c>
      <c r="G226" s="407">
        <f ca="1">VLOOKUP(H226,Equipos!$Q$1:$R$25,2,0)</f>
        <v>22</v>
      </c>
      <c r="H226" s="65" t="str">
        <f>Idiomas!$D$262</f>
        <v>Cuartos de final</v>
      </c>
      <c r="I226" s="50"/>
      <c r="J226" s="794" t="s">
        <v>35</v>
      </c>
      <c r="K226" s="53" t="str">
        <f>Idiomas!$D$201&amp;"-"&amp;ROWS($L$226:L226)</f>
        <v>Semifinalista-1</v>
      </c>
      <c r="L226" s="53"/>
      <c r="M226" s="55" t="str">
        <f>WORLDCUP!AA138</f>
        <v>W97</v>
      </c>
      <c r="N226" s="25"/>
      <c r="O226" s="25"/>
      <c r="P226" s="25"/>
      <c r="Q226" s="25"/>
      <c r="R226" s="110"/>
      <c r="S226" s="76" t="s">
        <v>135</v>
      </c>
      <c r="T226" s="77">
        <f>COUNTIF($M$226:$M$229,S226)*$D$27</f>
        <v>0</v>
      </c>
      <c r="U226" s="64"/>
      <c r="V226" s="76" t="s">
        <v>74</v>
      </c>
      <c r="W226" s="77">
        <f t="shared" ref="W226" si="697">COUNTIF($M$226:$M$229,V226)*$D$27</f>
        <v>0</v>
      </c>
      <c r="X226" s="64"/>
      <c r="Y226" s="76" t="s">
        <v>74</v>
      </c>
      <c r="Z226" s="77">
        <f t="shared" ref="Z226" si="698">COUNTIF($M$226:$M$229,Y226)*$D$27</f>
        <v>0</v>
      </c>
      <c r="AA226" s="64"/>
      <c r="AB226" s="76" t="s">
        <v>74</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77</v>
      </c>
      <c r="AU226" s="77">
        <f t="shared" ref="AU226" si="705">COUNTIF($M$226:$M$229,AT226)*$D$27</f>
        <v>0</v>
      </c>
      <c r="AV226" s="64"/>
      <c r="AW226" s="76" t="s">
        <v>74</v>
      </c>
      <c r="AX226" s="77">
        <f t="shared" ref="AX226" si="706">COUNTIF($M$226:$M$229,AW226)*$D$27</f>
        <v>0</v>
      </c>
      <c r="AY226" s="64"/>
      <c r="AZ226" s="76" t="s">
        <v>74</v>
      </c>
      <c r="BA226" s="77">
        <f t="shared" ref="BA226" si="707">COUNTIF($M$226:$M$229,AZ226)*$D$27</f>
        <v>0</v>
      </c>
      <c r="BB226" s="64"/>
      <c r="BC226" s="76" t="s">
        <v>1263</v>
      </c>
      <c r="BD226" s="77">
        <f t="shared" ref="BD226" si="708">COUNTIF($M$226:$M$229,BC226)*$D$27</f>
        <v>0</v>
      </c>
      <c r="BE226" s="64"/>
      <c r="BF226" s="76" t="s">
        <v>74</v>
      </c>
      <c r="BG226" s="77">
        <f t="shared" ref="BG226" si="709">COUNTIF($M$226:$M$229,BF226)*$D$27</f>
        <v>0</v>
      </c>
      <c r="BH226" s="64"/>
      <c r="BI226" s="76" t="s">
        <v>77</v>
      </c>
      <c r="BJ226" s="77">
        <f t="shared" ref="BJ226" si="710">COUNTIF($M$226:$M$229,BI226)*$D$27</f>
        <v>0</v>
      </c>
      <c r="BK226" s="64"/>
      <c r="BL226" s="76" t="s">
        <v>77</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25</v>
      </c>
      <c r="G227" s="407">
        <f ca="1">VLOOKUP(H227,Equipos!$Q$1:$R$25,2,0)</f>
        <v>22</v>
      </c>
      <c r="H227" s="65" t="str">
        <f>Idiomas!$D$262</f>
        <v>Cuartos de final</v>
      </c>
      <c r="I227" s="50"/>
      <c r="J227" s="794"/>
      <c r="K227" s="56" t="str">
        <f>Idiomas!$D$201&amp;"-"&amp;ROWS($L$226:L227)</f>
        <v>Semifinalista-2</v>
      </c>
      <c r="L227" s="53"/>
      <c r="M227" s="55" t="str">
        <f>WORLDCUP!AA139</f>
        <v>W99</v>
      </c>
      <c r="N227" s="25"/>
      <c r="O227" s="25"/>
      <c r="P227" s="25"/>
      <c r="Q227" s="25"/>
      <c r="R227" s="110"/>
      <c r="S227" s="74" t="s">
        <v>74</v>
      </c>
      <c r="T227" s="73">
        <f>COUNTIF($M$226:$M$229,S227)*$D$27</f>
        <v>0</v>
      </c>
      <c r="U227" s="64"/>
      <c r="V227" s="74" t="s">
        <v>76</v>
      </c>
      <c r="W227" s="73">
        <f t="shared" ref="W227" si="722">COUNTIF($M$226:$M$229,V227)*$D$27</f>
        <v>0</v>
      </c>
      <c r="X227" s="64"/>
      <c r="Y227" s="74" t="s">
        <v>77</v>
      </c>
      <c r="Z227" s="73">
        <f t="shared" ref="Z227" si="723">COUNTIF($M$226:$M$229,Y227)*$D$27</f>
        <v>0</v>
      </c>
      <c r="AA227" s="64"/>
      <c r="AB227" s="74" t="s">
        <v>1634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1321</v>
      </c>
      <c r="AU227" s="73">
        <f t="shared" ref="AU227" si="730">COUNTIF($M$226:$M$229,AT227)*$D$27</f>
        <v>0</v>
      </c>
      <c r="AV227" s="64"/>
      <c r="AW227" s="74" t="s">
        <v>1258</v>
      </c>
      <c r="AX227" s="73">
        <f t="shared" ref="AX227" si="731">COUNTIF($M$226:$M$229,AW227)*$D$27</f>
        <v>0</v>
      </c>
      <c r="AY227" s="64"/>
      <c r="AZ227" s="74" t="s">
        <v>76</v>
      </c>
      <c r="BA227" s="73">
        <f t="shared" ref="BA227" si="732">COUNTIF($M$226:$M$229,AZ227)*$D$27</f>
        <v>0</v>
      </c>
      <c r="BB227" s="64"/>
      <c r="BC227" s="74" t="s">
        <v>74</v>
      </c>
      <c r="BD227" s="73">
        <f t="shared" ref="BD227" si="733">COUNTIF($M$226:$M$229,BC227)*$D$27</f>
        <v>0</v>
      </c>
      <c r="BE227" s="64"/>
      <c r="BF227" s="74" t="s">
        <v>76</v>
      </c>
      <c r="BG227" s="73">
        <f t="shared" ref="BG227" si="734">COUNTIF($M$226:$M$229,BF227)*$D$27</f>
        <v>0</v>
      </c>
      <c r="BH227" s="64"/>
      <c r="BI227" s="74" t="s">
        <v>76</v>
      </c>
      <c r="BJ227" s="73">
        <f t="shared" ref="BJ227" si="735">COUNTIF($M$226:$M$229,BI227)*$D$27</f>
        <v>0</v>
      </c>
      <c r="BK227" s="64"/>
      <c r="BL227" s="74" t="s">
        <v>76</v>
      </c>
      <c r="BM227" s="73">
        <f t="shared" ref="BM227" si="736">COUNTIF($M$226:$M$229,BL227)*$D$27</f>
        <v>0</v>
      </c>
      <c r="BN227" s="64"/>
      <c r="BO227" s="74" t="s">
        <v>1258</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25</v>
      </c>
      <c r="G228" s="407">
        <f ca="1">VLOOKUP(H228,Equipos!$Q$1:$R$25,2,0)</f>
        <v>22</v>
      </c>
      <c r="H228" s="65" t="str">
        <f>Idiomas!$D$262</f>
        <v>Cuartos de final</v>
      </c>
      <c r="I228" s="50"/>
      <c r="J228" s="794"/>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38</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38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25</v>
      </c>
      <c r="G229" s="407">
        <f ca="1">VLOOKUP(H229,Equipos!$Q$1:$R$25,2,0)</f>
        <v>22</v>
      </c>
      <c r="H229" s="65" t="str">
        <f>Idiomas!$D$262</f>
        <v>Cuartos de final</v>
      </c>
      <c r="I229" s="50"/>
      <c r="J229" s="794"/>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1256</v>
      </c>
      <c r="AI229" s="81">
        <f t="shared" ref="AI229" si="774">COUNTIF($M$226:$M$229,AH229)*$D$27</f>
        <v>0</v>
      </c>
      <c r="AJ229" s="64"/>
      <c r="AK229" s="80" t="s">
        <v>79</v>
      </c>
      <c r="AL229" s="81">
        <f t="shared" ref="AL229" si="775">COUNTIF($M$226:$M$229,AK229)*$D$27</f>
        <v>0</v>
      </c>
      <c r="AM229" s="64"/>
      <c r="AN229" s="80" t="s">
        <v>1256</v>
      </c>
      <c r="AO229" s="81">
        <f t="shared" ref="AO229" si="776">COUNTIF($M$226:$M$229,AN229)*$D$27</f>
        <v>0</v>
      </c>
      <c r="AP229" s="64"/>
      <c r="AQ229" s="80" t="s">
        <v>79</v>
      </c>
      <c r="AR229" s="81">
        <f t="shared" ref="AR229" si="777">COUNTIF($M$226:$M$229,AQ229)*$D$27</f>
        <v>0</v>
      </c>
      <c r="AS229" s="64"/>
      <c r="AT229" s="80" t="s">
        <v>1256</v>
      </c>
      <c r="AU229" s="81">
        <f t="shared" ref="AU229" si="778">COUNTIF($M$226:$M$229,AT229)*$D$27</f>
        <v>0</v>
      </c>
      <c r="AV229" s="64"/>
      <c r="AW229" s="80" t="s">
        <v>79</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1256</v>
      </c>
      <c r="BG229" s="81">
        <f t="shared" ref="BG229" si="782">COUNTIF($M$226:$M$229,BF229)*$D$27</f>
        <v>0</v>
      </c>
      <c r="BH229" s="64"/>
      <c r="BI229" s="80" t="s">
        <v>79</v>
      </c>
      <c r="BJ229" s="81">
        <f t="shared" ref="BJ229" si="783">COUNTIF($M$226:$M$229,BI229)*$D$27</f>
        <v>0</v>
      </c>
      <c r="BK229" s="64"/>
      <c r="BL229" s="80" t="s">
        <v>1256</v>
      </c>
      <c r="BM229" s="81">
        <f t="shared" ref="BM229" si="784">COUNTIF($M$226:$M$229,BL229)*$D$27</f>
        <v>0</v>
      </c>
      <c r="BN229" s="64"/>
      <c r="BO229" s="80" t="s">
        <v>79</v>
      </c>
      <c r="BP229" s="81">
        <f t="shared" ref="BP229" si="785">COUNTIF($M$226:$M$229,BO229)*$D$27</f>
        <v>0</v>
      </c>
      <c r="BQ229" s="64"/>
      <c r="BR229" s="80" t="s">
        <v>1256</v>
      </c>
      <c r="BS229" s="81">
        <f t="shared" ref="BS229" si="786">COUNTIF($M$226:$M$229,BR229)*$D$27</f>
        <v>0</v>
      </c>
      <c r="BT229" s="64"/>
      <c r="BU229" s="80" t="s">
        <v>1256</v>
      </c>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100</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180</v>
      </c>
      <c r="G232" s="407">
        <f ca="1">VLOOKUP(H232,Equipos!$Q$1:$R$25,2,0)</f>
        <v>23</v>
      </c>
      <c r="H232" s="65" t="str">
        <f>Idiomas!$D$263</f>
        <v>Semifinales</v>
      </c>
      <c r="I232" s="43">
        <v>3</v>
      </c>
      <c r="J232" s="795"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1984</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2022</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2063</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2063</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2116</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2116</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2116</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2199</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2116</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2272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2246</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2063</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2417</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2116</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2341</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2361</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2378</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2116</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2199</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180</v>
      </c>
      <c r="G233" s="407">
        <f ca="1">VLOOKUP(H233,Equipos!$Q$1:$R$25,2,0)</f>
        <v>23</v>
      </c>
      <c r="H233" s="65" t="str">
        <f>Idiomas!$D$263</f>
        <v>Semifinales</v>
      </c>
      <c r="I233" s="43">
        <v>3</v>
      </c>
      <c r="J233" s="795"/>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1985</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2023</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2064</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2090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2150</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2117</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2175</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2200</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2221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2273</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2247</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2296</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1985</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2319</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2342</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2362</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2379</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2200</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2397</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360</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30</v>
      </c>
      <c r="G236" s="407">
        <f ca="1">VLOOKUP(H236,Equipos!$Q$1:$R$25,2,0)</f>
        <v>23</v>
      </c>
      <c r="H236" s="65" t="str">
        <f>Idiomas!$D$263</f>
        <v>Semifinales</v>
      </c>
      <c r="I236" s="50"/>
      <c r="J236" s="795" t="s">
        <v>493</v>
      </c>
      <c r="K236" s="53" t="str">
        <f>Idiomas!D202&amp;"-"&amp;ROWS($L$236:L236)</f>
        <v>3º y 4º puesto-1</v>
      </c>
      <c r="L236" s="53"/>
      <c r="M236" s="55" t="str">
        <f>WORLDCUP!AA143</f>
        <v>L101</v>
      </c>
      <c r="N236" s="25"/>
      <c r="O236" s="25"/>
      <c r="P236" s="25"/>
      <c r="Q236" s="25"/>
      <c r="R236" s="17"/>
      <c r="S236" s="76" t="s">
        <v>135</v>
      </c>
      <c r="T236" s="77">
        <f>COUNTIF($M$236:$M$237,S236)*$D$31</f>
        <v>0</v>
      </c>
      <c r="U236" s="110"/>
      <c r="V236" s="76" t="s">
        <v>74</v>
      </c>
      <c r="W236" s="77">
        <f t="shared" ref="W236" si="891">COUNTIF($M$236:$M$237,V236)*$D$31</f>
        <v>0</v>
      </c>
      <c r="X236" s="110"/>
      <c r="Y236" s="76" t="s">
        <v>38</v>
      </c>
      <c r="Z236" s="77">
        <f t="shared" ref="Z236" si="892">COUNTIF($M$236:$M$237,Y236)*$D$31</f>
        <v>0</v>
      </c>
      <c r="AA236" s="110"/>
      <c r="AB236" s="76" t="s">
        <v>38</v>
      </c>
      <c r="AC236" s="77">
        <f t="shared" ref="AC236" si="893">COUNTIF($M$236:$M$237,AB236)*$D$31</f>
        <v>0</v>
      </c>
      <c r="AD236" s="110"/>
      <c r="AE236" s="76" t="s">
        <v>74</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77</v>
      </c>
      <c r="AU236" s="77">
        <f t="shared" ref="AU236" si="899">COUNTIF($M$236:$M$237,AT236)*$D$31</f>
        <v>0</v>
      </c>
      <c r="AV236" s="110"/>
      <c r="AW236" s="76" t="s">
        <v>74</v>
      </c>
      <c r="AX236" s="77">
        <f t="shared" ref="AX236" si="900">COUNTIF($M$236:$M$237,AW236)*$D$31</f>
        <v>0</v>
      </c>
      <c r="AY236" s="110"/>
      <c r="AZ236" s="76" t="s">
        <v>38</v>
      </c>
      <c r="BA236" s="77">
        <f t="shared" ref="BA236" si="901">COUNTIF($M$236:$M$237,AZ236)*$D$31</f>
        <v>0</v>
      </c>
      <c r="BB236" s="110"/>
      <c r="BC236" s="76" t="s">
        <v>1263</v>
      </c>
      <c r="BD236" s="77">
        <f t="shared" ref="BD236" si="902">COUNTIF($M$236:$M$237,BC236)*$D$31</f>
        <v>0</v>
      </c>
      <c r="BE236" s="110"/>
      <c r="BF236" s="76" t="s">
        <v>74</v>
      </c>
      <c r="BG236" s="77">
        <f t="shared" ref="BG236" si="903">COUNTIF($M$236:$M$237,BF236)*$D$31</f>
        <v>0</v>
      </c>
      <c r="BH236" s="110"/>
      <c r="BI236" s="76" t="s">
        <v>38</v>
      </c>
      <c r="BJ236" s="77">
        <f t="shared" ref="BJ236" si="904">COUNTIF($M$236:$M$237,BI236)*$D$31</f>
        <v>0</v>
      </c>
      <c r="BK236" s="110"/>
      <c r="BL236" s="76" t="s">
        <v>77</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30</v>
      </c>
      <c r="G237" s="407">
        <f ca="1">VLOOKUP(H237,Equipos!$Q$1:$R$25,2,0)</f>
        <v>23</v>
      </c>
      <c r="H237" s="65" t="str">
        <f>Idiomas!$D$263</f>
        <v>Semifinales</v>
      </c>
      <c r="I237" s="50"/>
      <c r="J237" s="795"/>
      <c r="K237" s="115" t="str">
        <f>Idiomas!D203&amp;"-"&amp;ROWS($L$236:L237)</f>
        <v>Finalista-2</v>
      </c>
      <c r="L237" s="115"/>
      <c r="M237" s="116" t="str">
        <f>WORLDCUP!AF143</f>
        <v>L102</v>
      </c>
      <c r="N237" s="25"/>
      <c r="O237" s="25"/>
      <c r="P237" s="25"/>
      <c r="Q237" s="25"/>
      <c r="R237" s="17"/>
      <c r="S237" s="80" t="s">
        <v>74</v>
      </c>
      <c r="T237" s="81">
        <f>COUNTIF($M$236:$M$237,S237)*$D$31</f>
        <v>0</v>
      </c>
      <c r="U237" s="110"/>
      <c r="V237" s="80" t="s">
        <v>76</v>
      </c>
      <c r="W237" s="81">
        <f t="shared" ref="W237" si="915">COUNTIF($M$236:$M$237,V237)*$D$31</f>
        <v>0</v>
      </c>
      <c r="X237" s="110"/>
      <c r="Y237" s="80" t="s">
        <v>79</v>
      </c>
      <c r="Z237" s="81">
        <f t="shared" ref="Z237" si="916">COUNTIF($M$236:$M$237,Y237)*$D$31</f>
        <v>0</v>
      </c>
      <c r="AA237" s="110"/>
      <c r="AB237" s="80" t="s">
        <v>1634</v>
      </c>
      <c r="AC237" s="81">
        <f t="shared" ref="AC237" si="917">COUNTIF($M$236:$M$237,AB237)*$D$31</f>
        <v>0</v>
      </c>
      <c r="AD237" s="110"/>
      <c r="AE237" s="80" t="s">
        <v>1258</v>
      </c>
      <c r="AF237" s="81">
        <f t="shared" ref="AF237" si="918">COUNTIF($M$236:$M$237,AE237)*$D$31</f>
        <v>0</v>
      </c>
      <c r="AG237" s="110"/>
      <c r="AH237" s="80" t="s">
        <v>1256</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79</v>
      </c>
      <c r="AR237" s="81">
        <f t="shared" ref="AR237" si="922">COUNTIF($M$236:$M$237,AQ237)*$D$31</f>
        <v>0</v>
      </c>
      <c r="AS237" s="110"/>
      <c r="AT237" s="80" t="s">
        <v>1321</v>
      </c>
      <c r="AU237" s="81">
        <f t="shared" ref="AU237" si="923">COUNTIF($M$236:$M$237,AT237)*$D$31</f>
        <v>0</v>
      </c>
      <c r="AV237" s="110"/>
      <c r="AW237" s="80" t="s">
        <v>1258</v>
      </c>
      <c r="AX237" s="81">
        <f t="shared" ref="AX237" si="924">COUNTIF($M$236:$M$237,AW237)*$D$31</f>
        <v>0</v>
      </c>
      <c r="AY237" s="110"/>
      <c r="AZ237" s="80" t="s">
        <v>76</v>
      </c>
      <c r="BA237" s="81">
        <f t="shared" ref="BA237" si="925">COUNTIF($M$236:$M$237,AZ237)*$D$31</f>
        <v>0</v>
      </c>
      <c r="BB237" s="110"/>
      <c r="BC237" s="80" t="s">
        <v>74</v>
      </c>
      <c r="BD237" s="81">
        <f t="shared" ref="BD237" si="926">COUNTIF($M$236:$M$237,BC237)*$D$31</f>
        <v>0</v>
      </c>
      <c r="BE237" s="110"/>
      <c r="BF237" s="80" t="s">
        <v>76</v>
      </c>
      <c r="BG237" s="81">
        <f t="shared" ref="BG237" si="927">COUNTIF($M$236:$M$237,BF237)*$D$31</f>
        <v>0</v>
      </c>
      <c r="BH237" s="110"/>
      <c r="BI237" s="80" t="s">
        <v>79</v>
      </c>
      <c r="BJ237" s="81">
        <f t="shared" ref="BJ237" si="928">COUNTIF($M$236:$M$237,BI237)*$D$31</f>
        <v>0</v>
      </c>
      <c r="BK237" s="110"/>
      <c r="BL237" s="80" t="s">
        <v>76</v>
      </c>
      <c r="BM237" s="81">
        <f t="shared" ref="BM237" si="929">COUNTIF($M$236:$M$237,BL237)*$D$31</f>
        <v>0</v>
      </c>
      <c r="BN237" s="110"/>
      <c r="BO237" s="80" t="s">
        <v>79</v>
      </c>
      <c r="BP237" s="81">
        <f t="shared" ref="BP237" si="930">COUNTIF($M$236:$M$237,BO237)*$D$31</f>
        <v>0</v>
      </c>
      <c r="BQ237" s="110"/>
      <c r="BR237" s="80" t="s">
        <v>1258</v>
      </c>
      <c r="BS237" s="81">
        <f t="shared" ref="BS237" si="931">COUNTIF($M$236:$M$237,BR237)*$D$31</f>
        <v>0</v>
      </c>
      <c r="BT237" s="110"/>
      <c r="BU237" s="80" t="s">
        <v>1256</v>
      </c>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60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50</v>
      </c>
      <c r="G240" s="407">
        <f ca="1">VLOOKUP(H240,Equipos!$Q$1:$R$25,2,0)</f>
        <v>23</v>
      </c>
      <c r="H240" s="65" t="str">
        <f>Idiomas!$D$263</f>
        <v>Semifinales</v>
      </c>
      <c r="I240" s="50"/>
      <c r="J240" s="795"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38</v>
      </c>
      <c r="W240" s="77">
        <f t="shared" ref="W240" si="963">COUNTIF($M$240:$M$241,V240)*$D$32</f>
        <v>0</v>
      </c>
      <c r="X240" s="110"/>
      <c r="Y240" s="76" t="s">
        <v>74</v>
      </c>
      <c r="Z240" s="77">
        <f t="shared" ref="Z240" si="964">COUNTIF($M$240:$M$241,Y240)*$D$32</f>
        <v>0</v>
      </c>
      <c r="AA240" s="110"/>
      <c r="AB240" s="76" t="s">
        <v>74</v>
      </c>
      <c r="AC240" s="77">
        <f t="shared" ref="AC240" si="965">COUNTIF($M$240:$M$241,AB240)*$D$32</f>
        <v>0</v>
      </c>
      <c r="AD240" s="110"/>
      <c r="AE240" s="76" t="s">
        <v>38</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38</v>
      </c>
      <c r="BD240" s="77">
        <f t="shared" ref="BD240" si="974">COUNTIF($M$240:$M$241,BC240)*$D$32</f>
        <v>0</v>
      </c>
      <c r="BE240" s="110"/>
      <c r="BF240" s="76" t="s">
        <v>38</v>
      </c>
      <c r="BG240" s="77">
        <f t="shared" ref="BG240" si="975">COUNTIF($M$240:$M$241,BF240)*$D$32</f>
        <v>0</v>
      </c>
      <c r="BH240" s="110"/>
      <c r="BI240" s="76" t="s">
        <v>77</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50</v>
      </c>
      <c r="G241" s="407">
        <f ca="1">VLOOKUP(H241,Equipos!$Q$1:$R$25,2,0)</f>
        <v>23</v>
      </c>
      <c r="H241" s="65" t="str">
        <f>Idiomas!$D$263</f>
        <v>Semifinales</v>
      </c>
      <c r="I241" s="50"/>
      <c r="J241" s="795"/>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77</v>
      </c>
      <c r="Z241" s="81">
        <f t="shared" ref="Z241" si="988">COUNTIF($M$240:$M$241,Y241)*$D$32</f>
        <v>0</v>
      </c>
      <c r="AA241" s="110"/>
      <c r="AB241" s="80" t="s">
        <v>79</v>
      </c>
      <c r="AC241" s="81">
        <f t="shared" ref="AC241" si="989">COUNTIF($M$240:$M$241,AB241)*$D$32</f>
        <v>0</v>
      </c>
      <c r="AD241" s="110"/>
      <c r="AE241" s="80" t="s">
        <v>79</v>
      </c>
      <c r="AF241" s="81">
        <f t="shared" ref="AF241" si="990">COUNTIF($M$240:$M$241,AE241)*$D$32</f>
        <v>0</v>
      </c>
      <c r="AG241" s="110"/>
      <c r="AH241" s="80" t="s">
        <v>1258</v>
      </c>
      <c r="AI241" s="81">
        <f t="shared" ref="AI241" si="991">COUNTIF($M$240:$M$241,AH241)*$D$32</f>
        <v>0</v>
      </c>
      <c r="AJ241" s="110"/>
      <c r="AK241" s="80" t="s">
        <v>79</v>
      </c>
      <c r="AL241" s="81">
        <f t="shared" ref="AL241" si="992">COUNTIF($M$240:$M$241,AK241)*$D$32</f>
        <v>0</v>
      </c>
      <c r="AM241" s="110"/>
      <c r="AN241" s="80" t="s">
        <v>1256</v>
      </c>
      <c r="AO241" s="81">
        <f t="shared" ref="AO241" si="993">COUNTIF($M$240:$M$241,AN241)*$D$32</f>
        <v>0</v>
      </c>
      <c r="AP241" s="110"/>
      <c r="AQ241" s="80" t="s">
        <v>76</v>
      </c>
      <c r="AR241" s="81">
        <f t="shared" ref="AR241" si="994">COUNTIF($M$240:$M$241,AQ241)*$D$32</f>
        <v>0</v>
      </c>
      <c r="AS241" s="110"/>
      <c r="AT241" s="80" t="s">
        <v>1256</v>
      </c>
      <c r="AU241" s="81">
        <f t="shared" ref="AU241" si="995">COUNTIF($M$240:$M$241,AT241)*$D$32</f>
        <v>0</v>
      </c>
      <c r="AV241" s="110"/>
      <c r="AW241" s="80" t="s">
        <v>79</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1256</v>
      </c>
      <c r="BG241" s="81">
        <f t="shared" ref="BG241" si="999">COUNTIF($M$240:$M$241,BF241)*$D$32</f>
        <v>0</v>
      </c>
      <c r="BH241" s="110"/>
      <c r="BI241" s="80" t="s">
        <v>76</v>
      </c>
      <c r="BJ241" s="81">
        <f t="shared" ref="BJ241" si="1000">COUNTIF($M$240:$M$241,BI241)*$D$32</f>
        <v>0</v>
      </c>
      <c r="BK241" s="110"/>
      <c r="BL241" s="80" t="s">
        <v>1256</v>
      </c>
      <c r="BM241" s="81">
        <f t="shared" ref="BM241" si="1001">COUNTIF($M$240:$M$241,BL241)*$D$32</f>
        <v>0</v>
      </c>
      <c r="BN241" s="110"/>
      <c r="BO241" s="80" t="s">
        <v>1258</v>
      </c>
      <c r="BP241" s="81">
        <f t="shared" ref="BP241" si="1002">COUNTIF($M$240:$M$241,BO241)*$D$32</f>
        <v>0</v>
      </c>
      <c r="BQ241" s="110"/>
      <c r="BR241" s="80" t="s">
        <v>1256</v>
      </c>
      <c r="BS241" s="81">
        <f t="shared" ref="BS241" si="1003">COUNTIF($M$240:$M$241,BR241)*$D$32</f>
        <v>0</v>
      </c>
      <c r="BT241" s="110"/>
      <c r="BU241" s="80" t="s">
        <v>1258</v>
      </c>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100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270</v>
      </c>
      <c r="G244" s="407">
        <f ca="1">VLOOKUP(H244,Equipos!$Q$1:$R$25,2,0)</f>
        <v>24</v>
      </c>
      <c r="H244" s="65" t="str">
        <f>Idiomas!$D$264</f>
        <v>3-4 &amp; Final</v>
      </c>
      <c r="I244" s="43">
        <v>3</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1986</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2024</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2065</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2091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2151</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2118</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2176</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2201</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2222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2274</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2248</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2223</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2418</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1982</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2025</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2363</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2025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2390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2398</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270</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405</v>
      </c>
      <c r="G247" s="407">
        <f ca="1">VLOOKUP(H247,Equipos!$Q$1:$R$25,2,0)</f>
        <v>24</v>
      </c>
      <c r="H247" s="65" t="str">
        <f>Idiomas!$D$264</f>
        <v>3-4 &amp; Final</v>
      </c>
      <c r="I247" s="43">
        <v>3</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1987</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2025</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1985</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2152</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2119</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1987</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2202</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2223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2275</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2025</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1985</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2419</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2286</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2343</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2364</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2380</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2286</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2119</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405</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100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38</v>
      </c>
      <c r="W250" s="77">
        <f t="shared" ref="W250" si="1131">COUNTIF($M$250,V250)*$D$39</f>
        <v>0</v>
      </c>
      <c r="X250" s="64"/>
      <c r="Y250" s="76" t="s">
        <v>77</v>
      </c>
      <c r="Z250" s="77">
        <f t="shared" ref="Z250" si="1132">COUNTIF($M$250,Y250)*$D$39</f>
        <v>0</v>
      </c>
      <c r="AA250" s="64"/>
      <c r="AB250" s="76" t="s">
        <v>79</v>
      </c>
      <c r="AC250" s="77">
        <f t="shared" ref="AC250" si="1133">COUNTIF($M$250,AB250)*$D$39</f>
        <v>0</v>
      </c>
      <c r="AD250" s="64"/>
      <c r="AE250" s="76" t="s">
        <v>38</v>
      </c>
      <c r="AF250" s="77">
        <f t="shared" ref="AF250" si="1134">COUNTIF($M$250,AE250)*$D$39</f>
        <v>0</v>
      </c>
      <c r="AG250" s="64"/>
      <c r="AH250" s="76" t="s">
        <v>38</v>
      </c>
      <c r="AI250" s="77">
        <f t="shared" ref="AI250" si="1135">COUNTIF($M$250,AH250)*$D$39</f>
        <v>0</v>
      </c>
      <c r="AJ250" s="64"/>
      <c r="AK250" s="76" t="s">
        <v>38</v>
      </c>
      <c r="AL250" s="77">
        <f t="shared" ref="AL250" si="1136">COUNTIF($M$250,AK250)*$D$39</f>
        <v>0</v>
      </c>
      <c r="AM250" s="64"/>
      <c r="AN250" s="76" t="s">
        <v>38</v>
      </c>
      <c r="AO250" s="77">
        <f t="shared" ref="AO250" si="1137">COUNTIF($M$250,AN250)*$D$39</f>
        <v>0</v>
      </c>
      <c r="AP250" s="64"/>
      <c r="AQ250" s="76" t="s">
        <v>38</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38</v>
      </c>
      <c r="BD250" s="77">
        <f t="shared" ref="BD250" si="1142">COUNTIF($M$250,BC250)*$D$39</f>
        <v>0</v>
      </c>
      <c r="BE250" s="64"/>
      <c r="BF250" s="76" t="s">
        <v>38</v>
      </c>
      <c r="BG250" s="77">
        <f t="shared" ref="BG250" si="1143">COUNTIF($M$250,BF250)*$D$39</f>
        <v>0</v>
      </c>
      <c r="BH250" s="64"/>
      <c r="BI250" s="76" t="s">
        <v>77</v>
      </c>
      <c r="BJ250" s="77">
        <f t="shared" ref="BJ250" si="1144">COUNTIF($M$250,BI250)*$D$39</f>
        <v>0</v>
      </c>
      <c r="BK250" s="64"/>
      <c r="BL250" s="76" t="s">
        <v>38</v>
      </c>
      <c r="BM250" s="77">
        <f t="shared" ref="BM250" si="1145">COUNTIF($M$250,BL250)*$D$39</f>
        <v>0</v>
      </c>
      <c r="BN250" s="64"/>
      <c r="BO250" s="76" t="s">
        <v>1258</v>
      </c>
      <c r="BP250" s="77">
        <f t="shared" ref="BP250" si="1146">COUNTIF($M$250,BO250)*$D$39</f>
        <v>0</v>
      </c>
      <c r="BQ250" s="64"/>
      <c r="BR250" s="76" t="s">
        <v>38</v>
      </c>
      <c r="BS250" s="77">
        <f t="shared" ref="BS250" si="1147">COUNTIF($M$250,BR250)*$D$39</f>
        <v>0</v>
      </c>
      <c r="BT250" s="64"/>
      <c r="BU250" s="76" t="s">
        <v>38</v>
      </c>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50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79</v>
      </c>
      <c r="W251" s="73">
        <f t="shared" ref="W251" si="1155">COUNTIF($M$251,V251)*$D$40</f>
        <v>0</v>
      </c>
      <c r="X251" s="64"/>
      <c r="Y251" s="74" t="s">
        <v>74</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1258</v>
      </c>
      <c r="AI251" s="73">
        <f t="shared" ref="AI251" si="1159">COUNTIF($M$251,AH251)*$D$40</f>
        <v>0</v>
      </c>
      <c r="AJ251" s="64"/>
      <c r="AK251" s="74" t="s">
        <v>79</v>
      </c>
      <c r="AL251" s="73">
        <f t="shared" ref="AL251" si="1160">COUNTIF($M$251,AK251)*$D$40</f>
        <v>0</v>
      </c>
      <c r="AM251" s="64"/>
      <c r="AN251" s="74" t="s">
        <v>1256</v>
      </c>
      <c r="AO251" s="73">
        <f t="shared" ref="AO251" si="1161">COUNTIF($M$251,AN251)*$D$40</f>
        <v>0</v>
      </c>
      <c r="AP251" s="64"/>
      <c r="AQ251" s="74" t="s">
        <v>76</v>
      </c>
      <c r="AR251" s="73">
        <f t="shared" ref="AR251" si="1162">COUNTIF($M$251,AQ251)*$D$40</f>
        <v>0</v>
      </c>
      <c r="AS251" s="64"/>
      <c r="AT251" s="74" t="s">
        <v>1256</v>
      </c>
      <c r="AU251" s="73">
        <f t="shared" ref="AU251" si="1163">COUNTIF($M$251,AT251)*$D$40</f>
        <v>0</v>
      </c>
      <c r="AV251" s="64"/>
      <c r="AW251" s="74" t="s">
        <v>79</v>
      </c>
      <c r="AX251" s="73">
        <f t="shared" ref="AX251" si="1164">COUNTIF($M$251,AW251)*$D$40</f>
        <v>0</v>
      </c>
      <c r="AY251" s="64"/>
      <c r="AZ251" s="74" t="s">
        <v>74</v>
      </c>
      <c r="BA251" s="73">
        <f t="shared" ref="BA251" si="1165">COUNTIF($M$251,AZ251)*$D$40</f>
        <v>0</v>
      </c>
      <c r="BB251" s="64"/>
      <c r="BC251" s="74" t="s">
        <v>79</v>
      </c>
      <c r="BD251" s="73">
        <f t="shared" ref="BD251" si="1166">COUNTIF($M$251,BC251)*$D$40</f>
        <v>0</v>
      </c>
      <c r="BE251" s="64"/>
      <c r="BF251" s="74" t="s">
        <v>1256</v>
      </c>
      <c r="BG251" s="73">
        <f t="shared" ref="BG251" si="1167">COUNTIF($M$251,BF251)*$D$40</f>
        <v>0</v>
      </c>
      <c r="BH251" s="64"/>
      <c r="BI251" s="74" t="s">
        <v>76</v>
      </c>
      <c r="BJ251" s="73">
        <f t="shared" ref="BJ251" si="1168">COUNTIF($M$251,BI251)*$D$40</f>
        <v>0</v>
      </c>
      <c r="BK251" s="64"/>
      <c r="BL251" s="74" t="s">
        <v>1256</v>
      </c>
      <c r="BM251" s="73">
        <f t="shared" ref="BM251" si="1169">COUNTIF($M$251,BL251)*$D$40</f>
        <v>0</v>
      </c>
      <c r="BN251" s="64"/>
      <c r="BO251" s="74" t="s">
        <v>74</v>
      </c>
      <c r="BP251" s="73">
        <f t="shared" ref="BP251" si="1170">COUNTIF($M$251,BO251)*$D$40</f>
        <v>0</v>
      </c>
      <c r="BQ251" s="64"/>
      <c r="BR251" s="74" t="s">
        <v>1256</v>
      </c>
      <c r="BS251" s="73">
        <f t="shared" ref="BS251" si="1171">COUNTIF($M$251,BR251)*$D$40</f>
        <v>0</v>
      </c>
      <c r="BT251" s="64"/>
      <c r="BU251" s="74" t="s">
        <v>1258</v>
      </c>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25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135</v>
      </c>
      <c r="T252" s="73">
        <f>COUNTIF($M$252,S252)*$D$41</f>
        <v>0</v>
      </c>
      <c r="U252" s="64"/>
      <c r="V252" s="74" t="s">
        <v>74</v>
      </c>
      <c r="W252" s="73">
        <f t="shared" ref="W252" si="1179">COUNTIF($M$252,V252)*$D$41</f>
        <v>0</v>
      </c>
      <c r="X252" s="64"/>
      <c r="Y252" s="74" t="s">
        <v>38</v>
      </c>
      <c r="Z252" s="73">
        <f t="shared" ref="Z252" si="1180">COUNTIF($M$252,Y252)*$D$41</f>
        <v>0</v>
      </c>
      <c r="AA252" s="64"/>
      <c r="AB252" s="74" t="s">
        <v>38</v>
      </c>
      <c r="AC252" s="73">
        <f t="shared" ref="AC252" si="1181">COUNTIF($M$252,AB252)*$D$41</f>
        <v>0</v>
      </c>
      <c r="AD252" s="64"/>
      <c r="AE252" s="74" t="s">
        <v>74</v>
      </c>
      <c r="AF252" s="73">
        <f t="shared" ref="AF252" si="1182">COUNTIF($M$252,AE252)*$D$41</f>
        <v>0</v>
      </c>
      <c r="AG252" s="64"/>
      <c r="AH252" s="74" t="s">
        <v>74</v>
      </c>
      <c r="AI252" s="73">
        <f t="shared" ref="AI252" si="1183">COUNTIF($M$252,AH252)*$D$41</f>
        <v>0</v>
      </c>
      <c r="AJ252" s="64"/>
      <c r="AK252" s="74" t="s">
        <v>74</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77</v>
      </c>
      <c r="AU252" s="73">
        <f t="shared" ref="AU252" si="1187">COUNTIF($M$252,AT252)*$D$41</f>
        <v>0</v>
      </c>
      <c r="AV252" s="64"/>
      <c r="AW252" s="74" t="s">
        <v>74</v>
      </c>
      <c r="AX252" s="73">
        <f t="shared" ref="AX252" si="1188">COUNTIF($M$252,AW252)*$D$41</f>
        <v>0</v>
      </c>
      <c r="AY252" s="64"/>
      <c r="AZ252" s="74" t="s">
        <v>38</v>
      </c>
      <c r="BA252" s="73">
        <f t="shared" ref="BA252" si="1189">COUNTIF($M$252,AZ252)*$D$41</f>
        <v>0</v>
      </c>
      <c r="BB252" s="64"/>
      <c r="BC252" s="74" t="s">
        <v>74</v>
      </c>
      <c r="BD252" s="73">
        <f t="shared" ref="BD252" si="1190">COUNTIF($M$252,BC252)*$D$41</f>
        <v>0</v>
      </c>
      <c r="BE252" s="64"/>
      <c r="BF252" s="74" t="s">
        <v>74</v>
      </c>
      <c r="BG252" s="73">
        <f t="shared" ref="BG252" si="1191">COUNTIF($M$252,BF252)*$D$41</f>
        <v>0</v>
      </c>
      <c r="BH252" s="64"/>
      <c r="BI252" s="74" t="s">
        <v>38</v>
      </c>
      <c r="BJ252" s="73">
        <f t="shared" ref="BJ252" si="1192">COUNTIF($M$252,BI252)*$D$41</f>
        <v>0</v>
      </c>
      <c r="BK252" s="64"/>
      <c r="BL252" s="74" t="s">
        <v>77</v>
      </c>
      <c r="BM252" s="73">
        <f t="shared" ref="BM252" si="1193">COUNTIF($M$252,BL252)*$D$41</f>
        <v>0</v>
      </c>
      <c r="BN252" s="64"/>
      <c r="BO252" s="74" t="s">
        <v>38</v>
      </c>
      <c r="BP252" s="73">
        <f t="shared" ref="BP252" si="1194">COUNTIF($M$252,BO252)*$D$41</f>
        <v>0</v>
      </c>
      <c r="BQ252" s="64"/>
      <c r="BR252" s="74" t="s">
        <v>1258</v>
      </c>
      <c r="BS252" s="73">
        <f t="shared" ref="BS252" si="1195">COUNTIF($M$252,BR252)*$D$41</f>
        <v>0</v>
      </c>
      <c r="BT252" s="64"/>
      <c r="BU252" s="74" t="s">
        <v>1256</v>
      </c>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50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1988</v>
      </c>
      <c r="T253" s="73">
        <f>COUNTIF($M$253,S253)*$D$42</f>
        <v>0</v>
      </c>
      <c r="U253" s="64"/>
      <c r="V253" s="74" t="s">
        <v>1990</v>
      </c>
      <c r="W253" s="73">
        <f t="shared" ref="W253" si="1203">COUNTIF($M$253,V253)*$D$42</f>
        <v>0</v>
      </c>
      <c r="X253" s="64"/>
      <c r="Y253" s="74" t="s">
        <v>1988</v>
      </c>
      <c r="Z253" s="73">
        <f t="shared" ref="Z253" si="1204">COUNTIF($M$253,Y253)*$D$42</f>
        <v>0</v>
      </c>
      <c r="AA253" s="64"/>
      <c r="AB253" s="74" t="s">
        <v>1990</v>
      </c>
      <c r="AC253" s="73">
        <f t="shared" ref="AC253" si="1205">COUNTIF($M$253,AB253)*$D$42</f>
        <v>0</v>
      </c>
      <c r="AD253" s="64"/>
      <c r="AE253" s="74" t="s">
        <v>1990</v>
      </c>
      <c r="AF253" s="73">
        <f t="shared" ref="AF253" si="1206">COUNTIF($M$253,AE253)*$D$42</f>
        <v>0</v>
      </c>
      <c r="AG253" s="64"/>
      <c r="AH253" s="74" t="s">
        <v>1990</v>
      </c>
      <c r="AI253" s="73">
        <f t="shared" ref="AI253" si="1207">COUNTIF($M$253,AH253)*$D$42</f>
        <v>0</v>
      </c>
      <c r="AJ253" s="64"/>
      <c r="AK253" s="74" t="s">
        <v>2178</v>
      </c>
      <c r="AL253" s="73">
        <f t="shared" ref="AL253" si="1208">COUNTIF($M$253,AK253)*$D$42</f>
        <v>0</v>
      </c>
      <c r="AM253" s="64"/>
      <c r="AN253" s="74" t="s">
        <v>1990</v>
      </c>
      <c r="AO253" s="73">
        <f t="shared" ref="AO253" si="1209">COUNTIF($M$253,AN253)*$D$42</f>
        <v>0</v>
      </c>
      <c r="AP253" s="64"/>
      <c r="AQ253" s="74" t="s">
        <v>2026</v>
      </c>
      <c r="AR253" s="73">
        <f t="shared" ref="AR253" si="1210">COUNTIF($M$253,AQ253)*$D$42</f>
        <v>0</v>
      </c>
      <c r="AS253" s="64"/>
      <c r="AT253" s="74" t="s">
        <v>2027</v>
      </c>
      <c r="AU253" s="73">
        <f t="shared" ref="AU253" si="1211">COUNTIF($M$253,AT253)*$D$42</f>
        <v>0</v>
      </c>
      <c r="AV253" s="64"/>
      <c r="AW253" s="74" t="s">
        <v>1990</v>
      </c>
      <c r="AX253" s="73">
        <f t="shared" ref="AX253" si="1212">COUNTIF($M$253,AW253)*$D$42</f>
        <v>0</v>
      </c>
      <c r="AY253" s="64"/>
      <c r="AZ253" s="74" t="s">
        <v>1990</v>
      </c>
      <c r="BA253" s="73">
        <f t="shared" ref="BA253" si="1213">COUNTIF($M$253,AZ253)*$D$42</f>
        <v>0</v>
      </c>
      <c r="BB253" s="64"/>
      <c r="BC253" s="74" t="s">
        <v>1990</v>
      </c>
      <c r="BD253" s="73">
        <f t="shared" ref="BD253" si="1214">COUNTIF($M$253,BC253)*$D$42</f>
        <v>0</v>
      </c>
      <c r="BE253" s="64"/>
      <c r="BF253" s="74" t="s">
        <v>1990</v>
      </c>
      <c r="BG253" s="73">
        <f t="shared" ref="BG253" si="1215">COUNTIF($M$253,BF253)*$D$42</f>
        <v>0</v>
      </c>
      <c r="BH253" s="64"/>
      <c r="BI253" s="74" t="s">
        <v>2026</v>
      </c>
      <c r="BJ253" s="73">
        <f t="shared" ref="BJ253" si="1216">COUNTIF($M$253,BI253)*$D$42</f>
        <v>0</v>
      </c>
      <c r="BK253" s="64"/>
      <c r="BL253" s="74" t="s">
        <v>2026</v>
      </c>
      <c r="BM253" s="73">
        <f t="shared" ref="BM253" si="1217">COUNTIF($M$253,BL253)*$D$42</f>
        <v>0</v>
      </c>
      <c r="BN253" s="64"/>
      <c r="BO253" s="74" t="s">
        <v>1990</v>
      </c>
      <c r="BP253" s="73">
        <f t="shared" ref="BP253" si="1218">COUNTIF($M$253,BO253)*$D$42</f>
        <v>0</v>
      </c>
      <c r="BQ253" s="64"/>
      <c r="BR253" s="74" t="s">
        <v>1990</v>
      </c>
      <c r="BS253" s="73">
        <f t="shared" ref="BS253" si="1219">COUNTIF($M$253,BR253)*$D$42</f>
        <v>0</v>
      </c>
      <c r="BT253" s="64"/>
      <c r="BU253" s="74" t="s">
        <v>1990</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25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1989</v>
      </c>
      <c r="T254" s="73">
        <f>COUNTIF($M$254,S254)*$D$43</f>
        <v>0</v>
      </c>
      <c r="U254" s="64"/>
      <c r="V254" s="74" t="s">
        <v>2026</v>
      </c>
      <c r="W254" s="73">
        <f t="shared" ref="W254" si="1227">COUNTIF($M$254,V254)*$D$43</f>
        <v>0</v>
      </c>
      <c r="X254" s="64"/>
      <c r="Y254" s="74" t="s">
        <v>1990</v>
      </c>
      <c r="Z254" s="73">
        <f t="shared" ref="Z254" si="1228">COUNTIF($M$254,Y254)*$D$43</f>
        <v>0</v>
      </c>
      <c r="AA254" s="64"/>
      <c r="AB254" s="74" t="s">
        <v>1991</v>
      </c>
      <c r="AC254" s="73">
        <f t="shared" ref="AC254" si="1229">COUNTIF($M$254,AB254)*$D$43</f>
        <v>0</v>
      </c>
      <c r="AD254" s="64"/>
      <c r="AE254" s="74" t="s">
        <v>1989</v>
      </c>
      <c r="AF254" s="73">
        <f t="shared" ref="AF254" si="1230">COUNTIF($M$254,AE254)*$D$43</f>
        <v>0</v>
      </c>
      <c r="AG254" s="64"/>
      <c r="AH254" s="74" t="s">
        <v>2026</v>
      </c>
      <c r="AI254" s="73">
        <f t="shared" ref="AI254" si="1231">COUNTIF($M$254,AH254)*$D$43</f>
        <v>0</v>
      </c>
      <c r="AJ254" s="64"/>
      <c r="AK254" s="74" t="s">
        <v>2026</v>
      </c>
      <c r="AL254" s="73">
        <f t="shared" ref="AL254" si="1232">COUNTIF($M$254,AK254)*$D$43</f>
        <v>0</v>
      </c>
      <c r="AM254" s="64"/>
      <c r="AN254" s="74" t="s">
        <v>2027</v>
      </c>
      <c r="AO254" s="73">
        <f t="shared" ref="AO254" si="1233">COUNTIF($M$254,AN254)*$D$43</f>
        <v>0</v>
      </c>
      <c r="AP254" s="64"/>
      <c r="AQ254" s="74" t="s">
        <v>1990</v>
      </c>
      <c r="AR254" s="73">
        <f t="shared" ref="AR254" si="1234">COUNTIF($M$254,AQ254)*$D$43</f>
        <v>0</v>
      </c>
      <c r="AS254" s="64"/>
      <c r="AT254" s="74" t="s">
        <v>1988</v>
      </c>
      <c r="AU254" s="73">
        <f t="shared" ref="AU254" si="1235">COUNTIF($M$254,AT254)*$D$43</f>
        <v>0</v>
      </c>
      <c r="AV254" s="64"/>
      <c r="AW254" s="74" t="s">
        <v>1989</v>
      </c>
      <c r="AX254" s="73">
        <f t="shared" ref="AX254" si="1236">COUNTIF($M$254,AW254)*$D$43</f>
        <v>0</v>
      </c>
      <c r="AY254" s="64"/>
      <c r="AZ254" s="74" t="s">
        <v>2178</v>
      </c>
      <c r="BA254" s="73">
        <f t="shared" ref="BA254" si="1237">COUNTIF($M$254,AZ254)*$D$43</f>
        <v>0</v>
      </c>
      <c r="BB254" s="64"/>
      <c r="BC254" s="74" t="s">
        <v>1989</v>
      </c>
      <c r="BD254" s="73">
        <f t="shared" ref="BD254" si="1238">COUNTIF($M$254,BC254)*$D$43</f>
        <v>0</v>
      </c>
      <c r="BE254" s="64"/>
      <c r="BF254" s="74" t="s">
        <v>2026</v>
      </c>
      <c r="BG254" s="73">
        <f t="shared" ref="BG254" si="1239">COUNTIF($M$254,BF254)*$D$43</f>
        <v>0</v>
      </c>
      <c r="BH254" s="64"/>
      <c r="BI254" s="74" t="s">
        <v>1989</v>
      </c>
      <c r="BJ254" s="73">
        <f t="shared" ref="BJ254" si="1240">COUNTIF($M$254,BI254)*$D$43</f>
        <v>0</v>
      </c>
      <c r="BK254" s="64"/>
      <c r="BL254" s="74" t="s">
        <v>2121</v>
      </c>
      <c r="BM254" s="73">
        <f t="shared" ref="BM254" si="1241">COUNTIF($M$254,BL254)*$D$43</f>
        <v>0</v>
      </c>
      <c r="BN254" s="64"/>
      <c r="BO254" s="74" t="s">
        <v>2026</v>
      </c>
      <c r="BP254" s="73">
        <f t="shared" ref="BP254" si="1242">COUNTIF($M$254,BO254)*$D$43</f>
        <v>0</v>
      </c>
      <c r="BQ254" s="64"/>
      <c r="BR254" s="74" t="s">
        <v>1991</v>
      </c>
      <c r="BS254" s="73">
        <f t="shared" ref="BS254" si="1243">COUNTIF($M$254,BR254)*$D$43</f>
        <v>0</v>
      </c>
      <c r="BT254" s="64"/>
      <c r="BU254" s="74" t="s">
        <v>2027</v>
      </c>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10</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1990</v>
      </c>
      <c r="T255" s="73">
        <f>COUNTIF($M$255,S255)*$D$44</f>
        <v>0</v>
      </c>
      <c r="U255" s="64"/>
      <c r="V255" s="74" t="s">
        <v>2027</v>
      </c>
      <c r="W255" s="73">
        <f t="shared" ref="W255" si="1251">COUNTIF($M$255,V255)*$D$44</f>
        <v>0</v>
      </c>
      <c r="X255" s="64"/>
      <c r="Y255" s="74" t="s">
        <v>2026</v>
      </c>
      <c r="Z255" s="73">
        <f t="shared" ref="Z255" si="1252">COUNTIF($M$255,Y255)*$D$44</f>
        <v>0</v>
      </c>
      <c r="AA255" s="64"/>
      <c r="AB255" s="74" t="s">
        <v>2092</v>
      </c>
      <c r="AC255" s="73">
        <f t="shared" ref="AC255" si="1253">COUNTIF($M$255,AB255)*$D$44</f>
        <v>0</v>
      </c>
      <c r="AD255" s="64"/>
      <c r="AE255" s="74" t="s">
        <v>2153</v>
      </c>
      <c r="AF255" s="73">
        <f t="shared" ref="AF255" si="1254">COUNTIF($M$255,AE255)*$D$44</f>
        <v>0</v>
      </c>
      <c r="AG255" s="64"/>
      <c r="AH255" s="74" t="s">
        <v>1991</v>
      </c>
      <c r="AI255" s="73">
        <f t="shared" ref="AI255" si="1255">COUNTIF($M$255,AH255)*$D$44</f>
        <v>0</v>
      </c>
      <c r="AJ255" s="64"/>
      <c r="AK255" s="74" t="s">
        <v>2179</v>
      </c>
      <c r="AL255" s="73">
        <f t="shared" ref="AL255" si="1256">COUNTIF($M$255,AK255)*$D$44</f>
        <v>0</v>
      </c>
      <c r="AM255" s="64"/>
      <c r="AN255" s="74" t="s">
        <v>2153</v>
      </c>
      <c r="AO255" s="73">
        <f t="shared" ref="AO255" si="1257">COUNTIF($M$255,AN255)*$D$44</f>
        <v>0</v>
      </c>
      <c r="AP255" s="64"/>
      <c r="AQ255" s="74" t="s">
        <v>1989</v>
      </c>
      <c r="AR255" s="73">
        <f t="shared" ref="AR255" si="1258">COUNTIF($M$255,AQ255)*$D$44</f>
        <v>0</v>
      </c>
      <c r="AS255" s="64"/>
      <c r="AT255" s="74" t="s">
        <v>2153</v>
      </c>
      <c r="AU255" s="73">
        <f t="shared" ref="AU255" si="1259">COUNTIF($M$255,AT255)*$D$44</f>
        <v>0</v>
      </c>
      <c r="AV255" s="64"/>
      <c r="AW255" s="74" t="s">
        <v>2250</v>
      </c>
      <c r="AX255" s="73">
        <f t="shared" ref="AX255" si="1260">COUNTIF($M$255,AW255)*$D$44</f>
        <v>0</v>
      </c>
      <c r="AY255" s="64"/>
      <c r="AZ255" s="74" t="s">
        <v>2153</v>
      </c>
      <c r="BA255" s="73">
        <f t="shared" ref="BA255" si="1261">COUNTIF($M$255,AZ255)*$D$44</f>
        <v>0</v>
      </c>
      <c r="BB255" s="64"/>
      <c r="BC255" s="74" t="s">
        <v>2420</v>
      </c>
      <c r="BD255" s="73">
        <f t="shared" ref="BD255" si="1262">COUNTIF($M$255,BC255)*$D$44</f>
        <v>0</v>
      </c>
      <c r="BE255" s="64"/>
      <c r="BF255" s="74" t="s">
        <v>1989</v>
      </c>
      <c r="BG255" s="73">
        <f t="shared" ref="BG255" si="1263">COUNTIF($M$255,BF255)*$D$44</f>
        <v>0</v>
      </c>
      <c r="BH255" s="64"/>
      <c r="BI255" s="74" t="s">
        <v>2179</v>
      </c>
      <c r="BJ255" s="73">
        <f t="shared" ref="BJ255" si="1264">COUNTIF($M$255,BI255)*$D$44</f>
        <v>0</v>
      </c>
      <c r="BK255" s="64"/>
      <c r="BL255" s="74" t="s">
        <v>1991</v>
      </c>
      <c r="BM255" s="73">
        <f t="shared" ref="BM255" si="1265">COUNTIF($M$255,BL255)*$D$44</f>
        <v>0</v>
      </c>
      <c r="BN255" s="64"/>
      <c r="BO255" s="74" t="s">
        <v>2153</v>
      </c>
      <c r="BP255" s="73">
        <f t="shared" ref="BP255" si="1266">COUNTIF($M$255,BO255)*$D$44</f>
        <v>0</v>
      </c>
      <c r="BQ255" s="64"/>
      <c r="BR255" s="74" t="s">
        <v>2027</v>
      </c>
      <c r="BS255" s="73">
        <f t="shared" ref="BS255" si="1267">COUNTIF($M$255,BR255)*$D$44</f>
        <v>0</v>
      </c>
      <c r="BT255" s="64"/>
      <c r="BU255" s="74" t="s">
        <v>1991</v>
      </c>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50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1991</v>
      </c>
      <c r="T256" s="73">
        <f>COUNTIF($M$256,S256)*$D$45</f>
        <v>0</v>
      </c>
      <c r="U256" s="64"/>
      <c r="V256" s="74" t="s">
        <v>1990</v>
      </c>
      <c r="W256" s="73">
        <f t="shared" ref="W256" si="1275">COUNTIF($M$256,V256)*$D$45</f>
        <v>0</v>
      </c>
      <c r="X256" s="64"/>
      <c r="Y256" s="74" t="s">
        <v>1990</v>
      </c>
      <c r="Z256" s="73">
        <f t="shared" ref="Z256" si="1276">COUNTIF($M$256,Y256)*$D$45</f>
        <v>0</v>
      </c>
      <c r="AA256" s="64"/>
      <c r="AB256" s="74" t="s">
        <v>2093</v>
      </c>
      <c r="AC256" s="73">
        <f t="shared" ref="AC256" si="1277">COUNTIF($M$256,AB256)*$D$45</f>
        <v>0</v>
      </c>
      <c r="AD256" s="64"/>
      <c r="AE256" s="74" t="s">
        <v>2029</v>
      </c>
      <c r="AF256" s="73">
        <f t="shared" ref="AF256" si="1278">COUNTIF($M$256,AE256)*$D$45</f>
        <v>0</v>
      </c>
      <c r="AG256" s="64"/>
      <c r="AH256" s="74" t="s">
        <v>1990</v>
      </c>
      <c r="AI256" s="73">
        <f t="shared" ref="AI256" si="1279">COUNTIF($M$256,AH256)*$D$45</f>
        <v>0</v>
      </c>
      <c r="AJ256" s="64"/>
      <c r="AK256" s="74" t="s">
        <v>1992</v>
      </c>
      <c r="AL256" s="73">
        <f t="shared" ref="AL256" si="1280">COUNTIF($M$256,AK256)*$D$45</f>
        <v>0</v>
      </c>
      <c r="AM256" s="64"/>
      <c r="AN256" s="74" t="s">
        <v>2029</v>
      </c>
      <c r="AO256" s="73">
        <f t="shared" ref="AO256" si="1281">COUNTIF($M$256,AN256)*$D$45</f>
        <v>0</v>
      </c>
      <c r="AP256" s="64"/>
      <c r="AQ256" s="74" t="s">
        <v>1991</v>
      </c>
      <c r="AR256" s="73">
        <f t="shared" ref="AR256" si="1282">COUNTIF($M$256,AQ256)*$D$45</f>
        <v>0</v>
      </c>
      <c r="AS256" s="64"/>
      <c r="AT256" s="74" t="s">
        <v>2029</v>
      </c>
      <c r="AU256" s="73">
        <f t="shared" ref="AU256" si="1283">COUNTIF($M$256,AT256)*$D$45</f>
        <v>0</v>
      </c>
      <c r="AV256" s="64"/>
      <c r="AW256" s="74" t="s">
        <v>1991</v>
      </c>
      <c r="AX256" s="73">
        <f t="shared" ref="AX256" si="1284">COUNTIF($M$256,AW256)*$D$45</f>
        <v>0</v>
      </c>
      <c r="AY256" s="64"/>
      <c r="AZ256" s="74" t="s">
        <v>1990</v>
      </c>
      <c r="BA256" s="73">
        <f t="shared" ref="BA256" si="1285">COUNTIF($M$256,AZ256)*$D$45</f>
        <v>0</v>
      </c>
      <c r="BB256" s="64"/>
      <c r="BC256" s="74" t="s">
        <v>2029</v>
      </c>
      <c r="BD256" s="73">
        <f t="shared" ref="BD256" si="1286">COUNTIF($M$256,BC256)*$D$45</f>
        <v>0</v>
      </c>
      <c r="BE256" s="64"/>
      <c r="BF256" s="74" t="s">
        <v>1991</v>
      </c>
      <c r="BG256" s="73">
        <f t="shared" ref="BG256" si="1287">COUNTIF($M$256,BF256)*$D$45</f>
        <v>0</v>
      </c>
      <c r="BH256" s="64"/>
      <c r="BI256" s="74" t="s">
        <v>2344</v>
      </c>
      <c r="BJ256" s="73">
        <f t="shared" ref="BJ256" si="1288">COUNTIF($M$256,BI256)*$D$45</f>
        <v>0</v>
      </c>
      <c r="BK256" s="64"/>
      <c r="BL256" s="74" t="s">
        <v>1991</v>
      </c>
      <c r="BM256" s="73">
        <f t="shared" ref="BM256" si="1289">COUNTIF($M$256,BL256)*$D$45</f>
        <v>0</v>
      </c>
      <c r="BN256" s="64"/>
      <c r="BO256" s="74" t="s">
        <v>2153</v>
      </c>
      <c r="BP256" s="73">
        <f t="shared" ref="BP256" si="1290">COUNTIF($M$256,BO256)*$D$45</f>
        <v>0</v>
      </c>
      <c r="BQ256" s="64"/>
      <c r="BR256" s="74" t="s">
        <v>1991</v>
      </c>
      <c r="BS256" s="73">
        <f t="shared" ref="BS256" si="1291">COUNTIF($M$256,BR256)*$D$45</f>
        <v>0</v>
      </c>
      <c r="BT256" s="64"/>
      <c r="BU256" s="74" t="s">
        <v>1991</v>
      </c>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25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1992</v>
      </c>
      <c r="T257" s="73">
        <f>COUNTIF($M$257,S257)*$D$46</f>
        <v>0</v>
      </c>
      <c r="U257" s="64"/>
      <c r="V257" s="74" t="s">
        <v>2028</v>
      </c>
      <c r="W257" s="73">
        <f t="shared" ref="W257" si="1299">COUNTIF($M$257,V257)*$D$46</f>
        <v>0</v>
      </c>
      <c r="X257" s="64"/>
      <c r="Y257" s="74" t="s">
        <v>2029</v>
      </c>
      <c r="Z257" s="73">
        <f t="shared" ref="Z257" si="1300">COUNTIF($M$257,Y257)*$D$46</f>
        <v>0</v>
      </c>
      <c r="AA257" s="64"/>
      <c r="AB257" s="74" t="s">
        <v>1990</v>
      </c>
      <c r="AC257" s="73">
        <f t="shared" ref="AC257" si="1301">COUNTIF($M$257,AB257)*$D$46</f>
        <v>0</v>
      </c>
      <c r="AD257" s="64"/>
      <c r="AE257" s="74" t="s">
        <v>1992</v>
      </c>
      <c r="AF257" s="73">
        <f t="shared" ref="AF257" si="1302">COUNTIF($M$257,AE257)*$D$46</f>
        <v>0</v>
      </c>
      <c r="AG257" s="64"/>
      <c r="AH257" s="74" t="s">
        <v>2121</v>
      </c>
      <c r="AI257" s="73">
        <f t="shared" ref="AI257" si="1303">COUNTIF($M$257,AH257)*$D$46</f>
        <v>0</v>
      </c>
      <c r="AJ257" s="64"/>
      <c r="AK257" s="74" t="s">
        <v>2029</v>
      </c>
      <c r="AL257" s="73">
        <f t="shared" ref="AL257" si="1304">COUNTIF($M$257,AK257)*$D$46</f>
        <v>0</v>
      </c>
      <c r="AM257" s="64"/>
      <c r="AN257" s="74" t="s">
        <v>2121</v>
      </c>
      <c r="AO257" s="73">
        <f t="shared" ref="AO257" si="1305">COUNTIF($M$257,AN257)*$D$46</f>
        <v>0</v>
      </c>
      <c r="AP257" s="64"/>
      <c r="AQ257" s="74" t="s">
        <v>2093</v>
      </c>
      <c r="AR257" s="73">
        <f t="shared" ref="AR257" si="1306">COUNTIF($M$257,AQ257)*$D$46</f>
        <v>0</v>
      </c>
      <c r="AS257" s="64"/>
      <c r="AT257" s="74" t="s">
        <v>2121</v>
      </c>
      <c r="AU257" s="73">
        <f t="shared" ref="AU257" si="1307">COUNTIF($M$257,AT257)*$D$46</f>
        <v>0</v>
      </c>
      <c r="AV257" s="64"/>
      <c r="AW257" s="74" t="s">
        <v>1992</v>
      </c>
      <c r="AX257" s="73">
        <f t="shared" ref="AX257" si="1308">COUNTIF($M$257,AW257)*$D$46</f>
        <v>0</v>
      </c>
      <c r="AY257" s="64"/>
      <c r="AZ257" s="74" t="s">
        <v>1992</v>
      </c>
      <c r="BA257" s="73">
        <f t="shared" ref="BA257" si="1309">COUNTIF($M$257,AZ257)*$D$46</f>
        <v>0</v>
      </c>
      <c r="BB257" s="64"/>
      <c r="BC257" s="74" t="s">
        <v>1992</v>
      </c>
      <c r="BD257" s="73">
        <f t="shared" ref="BD257" si="1310">COUNTIF($M$257,BC257)*$D$46</f>
        <v>0</v>
      </c>
      <c r="BE257" s="64"/>
      <c r="BF257" s="74" t="s">
        <v>1990</v>
      </c>
      <c r="BG257" s="73">
        <f t="shared" ref="BG257" si="1311">COUNTIF($M$257,BF257)*$D$46</f>
        <v>0</v>
      </c>
      <c r="BH257" s="64"/>
      <c r="BI257" s="74" t="s">
        <v>2345</v>
      </c>
      <c r="BJ257" s="73">
        <f t="shared" ref="BJ257" si="1312">COUNTIF($M$257,BI257)*$D$46</f>
        <v>0</v>
      </c>
      <c r="BK257" s="64"/>
      <c r="BL257" s="74" t="s">
        <v>2121</v>
      </c>
      <c r="BM257" s="73">
        <f t="shared" ref="BM257" si="1313">COUNTIF($M$257,BL257)*$D$46</f>
        <v>0</v>
      </c>
      <c r="BN257" s="64"/>
      <c r="BO257" s="74" t="s">
        <v>1990</v>
      </c>
      <c r="BP257" s="73">
        <f t="shared" ref="BP257" si="1314">COUNTIF($M$257,BO257)*$D$46</f>
        <v>0</v>
      </c>
      <c r="BQ257" s="64"/>
      <c r="BR257" s="74" t="s">
        <v>1990</v>
      </c>
      <c r="BS257" s="73">
        <f t="shared" ref="BS257" si="1315">COUNTIF($M$257,BR257)*$D$46</f>
        <v>0</v>
      </c>
      <c r="BT257" s="64"/>
      <c r="BU257" s="74" t="s">
        <v>2027</v>
      </c>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10</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1988</v>
      </c>
      <c r="T258" s="81">
        <f>COUNTIF($M$258,S258)*$D$47</f>
        <v>0</v>
      </c>
      <c r="U258" s="64"/>
      <c r="V258" s="80" t="s">
        <v>2029</v>
      </c>
      <c r="W258" s="81">
        <f t="shared" ref="W258" si="1323">COUNTIF($M$258,V258)*$D$47</f>
        <v>0</v>
      </c>
      <c r="X258" s="64"/>
      <c r="Y258" s="80" t="s">
        <v>1992</v>
      </c>
      <c r="Z258" s="81">
        <f t="shared" ref="Z258" si="1324">COUNTIF($M$258,Y258)*$D$47</f>
        <v>0</v>
      </c>
      <c r="AA258" s="64"/>
      <c r="AB258" s="80" t="s">
        <v>1992</v>
      </c>
      <c r="AC258" s="81">
        <f t="shared" ref="AC258" si="1325">COUNTIF($M$258,AB258)*$D$47</f>
        <v>0</v>
      </c>
      <c r="AD258" s="64"/>
      <c r="AE258" s="80" t="s">
        <v>2121</v>
      </c>
      <c r="AF258" s="81">
        <f t="shared" ref="AF258" si="1326">COUNTIF($M$258,AE258)*$D$47</f>
        <v>0</v>
      </c>
      <c r="AG258" s="64"/>
      <c r="AH258" s="80" t="s">
        <v>1991</v>
      </c>
      <c r="AI258" s="81">
        <f t="shared" ref="AI258" si="1327">COUNTIF($M$258,AH258)*$D$47</f>
        <v>0</v>
      </c>
      <c r="AJ258" s="64"/>
      <c r="AK258" s="80" t="s">
        <v>1991</v>
      </c>
      <c r="AL258" s="81">
        <f t="shared" ref="AL258" si="1328">COUNTIF($M$258,AK258)*$D$47</f>
        <v>0</v>
      </c>
      <c r="AM258" s="64"/>
      <c r="AN258" s="80" t="s">
        <v>2204</v>
      </c>
      <c r="AO258" s="81">
        <f t="shared" ref="AO258" si="1329">COUNTIF($M$258,AN258)*$D$47</f>
        <v>0</v>
      </c>
      <c r="AP258" s="64"/>
      <c r="AQ258" s="80" t="s">
        <v>2029</v>
      </c>
      <c r="AR258" s="81">
        <f t="shared" ref="AR258" si="1330">COUNTIF($M$258,AQ258)*$D$47</f>
        <v>0</v>
      </c>
      <c r="AS258" s="64"/>
      <c r="AT258" s="80" t="s">
        <v>2276</v>
      </c>
      <c r="AU258" s="81">
        <f t="shared" ref="AU258" si="1331">COUNTIF($M$258,AT258)*$D$47</f>
        <v>0</v>
      </c>
      <c r="AV258" s="64"/>
      <c r="AW258" s="80" t="s">
        <v>1990</v>
      </c>
      <c r="AX258" s="81">
        <f t="shared" ref="AX258" si="1332">COUNTIF($M$258,AW258)*$D$47</f>
        <v>0</v>
      </c>
      <c r="AY258" s="64"/>
      <c r="AZ258" s="80" t="s">
        <v>2029</v>
      </c>
      <c r="BA258" s="81">
        <f t="shared" ref="BA258" si="1333">COUNTIF($M$258,AZ258)*$D$47</f>
        <v>0</v>
      </c>
      <c r="BB258" s="64"/>
      <c r="BC258" s="80" t="s">
        <v>1991</v>
      </c>
      <c r="BD258" s="81">
        <f t="shared" ref="BD258" si="1334">COUNTIF($M$258,BC258)*$D$47</f>
        <v>0</v>
      </c>
      <c r="BE258" s="64"/>
      <c r="BF258" s="80" t="s">
        <v>2026</v>
      </c>
      <c r="BG258" s="81">
        <f t="shared" ref="BG258" si="1335">COUNTIF($M$258,BF258)*$D$47</f>
        <v>0</v>
      </c>
      <c r="BH258" s="64"/>
      <c r="BI258" s="80" t="s">
        <v>1992</v>
      </c>
      <c r="BJ258" s="81">
        <f t="shared" ref="BJ258" si="1336">COUNTIF($M$258,BI258)*$D$47</f>
        <v>0</v>
      </c>
      <c r="BK258" s="64"/>
      <c r="BL258" s="80" t="s">
        <v>2029</v>
      </c>
      <c r="BM258" s="81">
        <f t="shared" ref="BM258" si="1337">COUNTIF($M$258,BL258)*$D$47</f>
        <v>0</v>
      </c>
      <c r="BN258" s="64"/>
      <c r="BO258" s="80" t="s">
        <v>1992</v>
      </c>
      <c r="BP258" s="81">
        <f t="shared" ref="BP258" si="1338">COUNTIF($M$258,BO258)*$D$47</f>
        <v>0</v>
      </c>
      <c r="BQ258" s="64"/>
      <c r="BR258" s="80" t="s">
        <v>2027</v>
      </c>
      <c r="BS258" s="81">
        <f t="shared" ref="BS258" si="1339">COUNTIF($M$258,BR258)*$D$47</f>
        <v>0</v>
      </c>
      <c r="BT258" s="64"/>
      <c r="BU258" s="80" t="s">
        <v>1990</v>
      </c>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345</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LASA</v>
      </c>
      <c r="T267" s="25"/>
      <c r="U267" s="25"/>
      <c r="V267" s="25" t="str">
        <f t="shared" ref="V267" si="1395">V5</f>
        <v>GARZON</v>
      </c>
      <c r="W267" s="25"/>
      <c r="X267" s="25"/>
      <c r="Y267" s="25" t="str">
        <f t="shared" ref="Y267" si="1396">Y5</f>
        <v>ANGEL</v>
      </c>
      <c r="Z267" s="25"/>
      <c r="AA267" s="25"/>
      <c r="AB267" s="25" t="str">
        <f t="shared" ref="AB267" si="1397">AB5</f>
        <v>VITAS</v>
      </c>
      <c r="AC267" s="25"/>
      <c r="AD267" s="25"/>
      <c r="AE267" s="25" t="str">
        <f t="shared" ref="AE267" si="1398">AE5</f>
        <v>BELLO</v>
      </c>
      <c r="AF267" s="25"/>
      <c r="AG267" s="25"/>
      <c r="AH267" s="25" t="str">
        <f t="shared" ref="AH267" si="1399">AH5</f>
        <v>PIRI</v>
      </c>
      <c r="AI267" s="25"/>
      <c r="AJ267" s="25"/>
      <c r="AK267" s="25" t="str">
        <f t="shared" ref="AK267" si="1400">AK5</f>
        <v>OSCAR</v>
      </c>
      <c r="AL267" s="25"/>
      <c r="AM267" s="25"/>
      <c r="AN267" s="25" t="str">
        <f t="shared" ref="AN267" si="1401">AN5</f>
        <v>PACO</v>
      </c>
      <c r="AO267" s="25"/>
      <c r="AP267" s="25"/>
      <c r="AQ267" s="25" t="str">
        <f t="shared" ref="AQ267" si="1402">AQ5</f>
        <v>ALFON</v>
      </c>
      <c r="AR267" s="25"/>
      <c r="AS267" s="25"/>
      <c r="AT267" s="25" t="str">
        <f t="shared" ref="AT267" si="1403">AT5</f>
        <v>BONERA</v>
      </c>
      <c r="AU267" s="25"/>
      <c r="AV267" s="25"/>
      <c r="AW267" s="25" t="str">
        <f t="shared" ref="AW267" si="1404">AW5</f>
        <v>MAICKY</v>
      </c>
      <c r="AX267" s="25"/>
      <c r="AY267" s="25"/>
      <c r="AZ267" s="25" t="str">
        <f t="shared" ref="AZ267" si="1405">AZ5</f>
        <v>CHEN</v>
      </c>
      <c r="BA267" s="25"/>
      <c r="BB267" s="25"/>
      <c r="BC267" s="25" t="str">
        <f t="shared" ref="BC267" si="1406">BC5</f>
        <v>OBLI</v>
      </c>
      <c r="BD267" s="25"/>
      <c r="BE267" s="25"/>
      <c r="BF267" s="25" t="str">
        <f t="shared" ref="BF267" si="1407">BF5</f>
        <v>ARTURO</v>
      </c>
      <c r="BG267" s="25"/>
      <c r="BH267" s="25"/>
      <c r="BI267" s="25" t="str">
        <f t="shared" ref="BI267" si="1408">BI5</f>
        <v>RONIE</v>
      </c>
      <c r="BJ267" s="25"/>
      <c r="BK267" s="25"/>
      <c r="BL267" s="25" t="str">
        <f t="shared" ref="BL267" si="1409">BL5</f>
        <v>GAGO</v>
      </c>
      <c r="BM267" s="25"/>
      <c r="BN267" s="25"/>
      <c r="BO267" s="25" t="str">
        <f t="shared" ref="BO267" si="1410">BO5</f>
        <v>CASAS</v>
      </c>
      <c r="BP267" s="25"/>
      <c r="BQ267" s="25"/>
      <c r="BR267" s="25" t="str">
        <f t="shared" ref="BR267" si="1411">BR5</f>
        <v>PANDO</v>
      </c>
      <c r="BS267" s="25"/>
      <c r="BT267" s="25"/>
      <c r="BU267" s="25" t="str">
        <f t="shared" ref="BU267" si="1412">BU5</f>
        <v>CHISCO</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Pa Porra la mía</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630</v>
      </c>
      <c r="F3" s="106" t="str">
        <f ca="1">+INDEX(ADMIN!$M$5:$M$259,MATCH(CLAS!F4,ADMIN!$K$5:$K$259,0))</f>
        <v>Max: 240</v>
      </c>
      <c r="G3" s="106" t="str">
        <f ca="1">+INDEX(ADMIN!$M$5:$M$259,MATCH(CLAS!G4,ADMIN!$K$5:$K$259,0))</f>
        <v>Max: 320</v>
      </c>
      <c r="H3" s="106" t="str">
        <f ca="1">+INDEX(ADMIN!$M$5:$M$259,MATCH(CLAS!H4,ADMIN!$K$5:$K$259,0))</f>
        <v>Max: 576</v>
      </c>
      <c r="I3" s="106" t="str">
        <f ca="1">+INDEX(ADMIN!$M$5:$M$259,MATCH(CLAS!I4,ADMIN!$K$5:$K$259,0))</f>
        <v>Max: 240</v>
      </c>
      <c r="J3" s="106" t="str">
        <f ca="1">+INDEX(ADMIN!$M$5:$M$259,MATCH(CLAS!J4,ADMIN!$K$5:$K$259,0))</f>
        <v>Max: 480</v>
      </c>
      <c r="K3" s="106" t="str">
        <f ca="1">+INDEX(ADMIN!$M$5:$M$259,MATCH(CLAS!K4,ADMIN!$K$5:$K$259,0))</f>
        <v>Max: 160</v>
      </c>
      <c r="L3" s="106" t="str">
        <f ca="1">+INDEX(ADMIN!$M$5:$M$259,MATCH(CLAS!L4,ADMIN!$K$5:$K$259,0))</f>
        <v>Max: 360</v>
      </c>
      <c r="M3" s="106" t="str">
        <f ca="1">+INDEX(ADMIN!$M$5:$M$259,MATCH(CLAS!M4,ADMIN!$K$5:$K$259,0))</f>
        <v>Max: 100</v>
      </c>
      <c r="N3" s="106" t="str">
        <f ca="1">+INDEX(ADMIN!$M$5:$M$259,MATCH(CLAS!N4,ADMIN!$K$5:$K$259,0))</f>
        <v>Max: 360</v>
      </c>
      <c r="O3" s="106" t="str">
        <f ca="1">+INDEX(ADMIN!$M$5:$M$259,MATCH(CLAS!O4,ADMIN!$K$5:$K$259,0))</f>
        <v>Max: 60</v>
      </c>
      <c r="P3" s="106" t="str">
        <f ca="1">+INDEX(ADMIN!$M$5:$M$259,MATCH(CLAS!P4,ADMIN!$K$5:$K$259,0))</f>
        <v>Max: 100</v>
      </c>
      <c r="Q3" s="106" t="str">
        <f ca="1">+INDEX(ADMIN!$M$5:$M$259,MATCH(CLAS!Q4,ADMIN!$K$5:$K$259,0))</f>
        <v>Max: 270</v>
      </c>
      <c r="R3" s="106" t="str">
        <f ca="1">+INDEX(ADMIN!$M$5:$M$259,MATCH(CLAS!R4,ADMIN!$K$5:$K$259,0))</f>
        <v>Max: 405</v>
      </c>
      <c r="S3" s="106" t="str">
        <f ca="1">+INDEX(ADMIN!$M$5:$M$259,MATCH(CLAS!S4,ADMIN!$K$5:$K$259,0))</f>
        <v>Max: 345</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LASA</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GARZON</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ANGEL</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VITAS</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BELLO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PIRI</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OSCAR</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PACO</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ALFON</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BONERA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MAICKY</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CHEN</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OBLI</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ARTURO</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RONIE</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GAGO</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CASAS</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PANDO</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CHISCO</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LASA</v>
      </c>
      <c r="G4" s="429" t="str">
        <f ca="1">IFERROR(VLOOKUP(G$2,Rango_Admin_DailyPred,MATCH($F4,Rango_Admin_DailyPred_Primera,0),0),"-")</f>
        <v>1|3-1</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GARZON</v>
      </c>
      <c r="G5" s="429" t="str">
        <f ca="1">IFERROR(VLOOKUP(G$2,Rango_Admin_DailyPred,MATCH($F5,Rango_Admin_DailyPred_Primera,0),0),"-")</f>
        <v>1|2-1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ANGEL</v>
      </c>
      <c r="G6" s="429" t="str">
        <f ca="1">IFERROR(VLOOKUP(G$2,Rango_Admin_DailyPred,MATCH($F6,Rango_Admin_DailyPred_Primera,0),0),"-")</f>
        <v>1|2-1</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VITAS</v>
      </c>
      <c r="G7" s="429" t="str">
        <f ca="1">IFERROR(VLOOKUP(G$2,Rango_Admin_DailyPred,MATCH($F7,Rango_Admin_DailyPred_Primera,0),0),"-")</f>
        <v>1|1-0</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BELLO</v>
      </c>
      <c r="G8" s="429" t="str">
        <f ca="1">IFERROR(VLOOKUP(G$2,Rango_Admin_DailyPred,MATCH($F8,Rango_Admin_DailyPred_Primera,0),0),"-")</f>
        <v>1|3-1</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PIRI</v>
      </c>
      <c r="G9" s="429" t="str">
        <f ca="1">IFERROR(VLOOKUP(G$2,Rango_Admin_DailyPred,MATCH($F9,Rango_Admin_DailyPred_Primera,0),0),"-")</f>
        <v>1|2-0</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OSCAR</v>
      </c>
      <c r="G10" s="429" t="str">
        <f ca="1">IFERROR(VLOOKUP(G$2,Rango_Admin_DailyPred,MATCH($F10,Rango_Admin_DailyPred_Primera,0),0),"-")</f>
        <v>1|2-1</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PACO</v>
      </c>
      <c r="G11" s="429" t="str">
        <f ca="1">IFERROR(VLOOKUP(G$2,Rango_Admin_DailyPred,MATCH($F11,Rango_Admin_DailyPred_Primera,0),0),"-")</f>
        <v>2|1-2</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ALFON</v>
      </c>
      <c r="G12" s="429" t="str">
        <f ca="1">IFERROR(VLOOKUP(G$2,Rango_Admin_DailyPred,MATCH($F12,Rango_Admin_DailyPred_Primera,0),0),"-")</f>
        <v>1|2-1</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BONERA</v>
      </c>
      <c r="G13" s="429" t="str">
        <f ca="1">IFERROR(VLOOKUP(G$2,Rango_Admin_DailyPred,MATCH($F13,Rango_Admin_DailyPred_Primera,0),0),"-")</f>
        <v>X|1-1</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MAICKY</v>
      </c>
      <c r="G14" s="429" t="str">
        <f ca="1">IFERROR(VLOOKUP(G$2,Rango_Admin_DailyPred,MATCH($F14,Rango_Admin_DailyPred_Primera,0),0),"-")</f>
        <v>1|2-1</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CHEN</v>
      </c>
      <c r="G15" s="429" t="str">
        <f ca="1">IFERROR(VLOOKUP(G$2,Rango_Admin_DailyPred,MATCH($F15,Rango_Admin_DailyPred_Primera,0),0),"-")</f>
        <v>1|2-0</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OBLI</v>
      </c>
      <c r="G16" s="429" t="str">
        <f ca="1">IFERROR(VLOOKUP(G$2,Rango_Admin_DailyPred,MATCH($F16,Rango_Admin_DailyPred_Primera,0),0),"-")</f>
        <v>1|1-0</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ARTURO</v>
      </c>
      <c r="G17" s="429" t="str">
        <f ca="1">IFERROR(VLOOKUP(G$2,Rango_Admin_DailyPred,MATCH($F17,Rango_Admin_DailyPred_Primera,0),0),"-")</f>
        <v>1|2-0</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RONIE</v>
      </c>
      <c r="G18" s="429" t="str">
        <f ca="1">IFERROR(VLOOKUP(G$2,Rango_Admin_DailyPred,MATCH($F18,Rango_Admin_DailyPred_Primera,0),0),"-")</f>
        <v>1|2-0</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GAGO</v>
      </c>
      <c r="G19" s="429" t="str">
        <f ca="1">IFERROR(VLOOKUP(G$2,Rango_Admin_DailyPred,MATCH($F19,Rango_Admin_DailyPred_Primera,0),0),"-")</f>
        <v>1|3-1</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CASAS</v>
      </c>
      <c r="G20" s="429" t="str">
        <f ca="1">IFERROR(VLOOKUP(G$2,Rango_Admin_DailyPred,MATCH($F20,Rango_Admin_DailyPred_Primera,0),0),"-")</f>
        <v>1|2-1</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PANDO</v>
      </c>
      <c r="G21" s="429" t="str">
        <f ca="1">IFERROR(VLOOKUP(G$2,Rango_Admin_DailyPred,MATCH($F21,Rango_Admin_DailyPred_Primera,0),0),"-")</f>
        <v>1|2-0</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CHISCO</v>
      </c>
      <c r="G22" s="429" t="str">
        <f ca="1">IFERROR(VLOOKUP(G$2,Rango_Admin_DailyPred,MATCH($F22,Rango_Admin_DailyPred_Primera,0),0),"-")</f>
        <v>1|2-0</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LASA</v>
      </c>
      <c r="G4" s="22">
        <f ca="1">IFERROR(HLOOKUP(C4,Rango_Admin_DailyClas,4,FALSE),"-")</f>
        <v>0</v>
      </c>
      <c r="H4" s="429">
        <f ca="1">IFERROR(VLOOKUP(H$2,Rango_Admin_DailyPred,MATCH($F4,Rango_Admin_DailyPred_Primera,0)+1,0),"-")</f>
        <v>0</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GARZON</v>
      </c>
      <c r="G5" s="22">
        <f ca="1">IFERROR(HLOOKUP(C5,Rango_Admin_DailyClas,4,FALSE),"-")</f>
        <v>0</v>
      </c>
      <c r="H5" s="429">
        <f ca="1">IFERROR(VLOOKUP(H$2,Rango_Admin_DailyPred,MATCH($F5,Rango_Admin_DailyPred_Primera,0)+1,0),"-")</f>
        <v>0</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ANGEL</v>
      </c>
      <c r="G6" s="22">
        <f ca="1">IFERROR(HLOOKUP(C6,Rango_Admin_DailyClas,4,FALSE),"-")</f>
        <v>0</v>
      </c>
      <c r="H6" s="429">
        <f ca="1">IFERROR(VLOOKUP(H$2,Rango_Admin_DailyPred,MATCH($F6,Rango_Admin_DailyPred_Primera,0)+1,0),"-")</f>
        <v>0</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VITAS</v>
      </c>
      <c r="G7" s="22">
        <f ca="1">IFERROR(HLOOKUP(C7,Rango_Admin_DailyClas,4,FALSE),"-")</f>
        <v>0</v>
      </c>
      <c r="H7" s="429">
        <f ca="1">IFERROR(VLOOKUP(H$2,Rango_Admin_DailyPred,MATCH($F7,Rango_Admin_DailyPred_Primera,0)+1,0),"-")</f>
        <v>0</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BELLO</v>
      </c>
      <c r="G8" s="22">
        <f ca="1">IFERROR(HLOOKUP(C8,Rango_Admin_DailyClas,4,FALSE),"-")</f>
        <v>0</v>
      </c>
      <c r="H8" s="429">
        <f ca="1">IFERROR(VLOOKUP(H$2,Rango_Admin_DailyPred,MATCH($F8,Rango_Admin_DailyPred_Primera,0)+1,0),"-")</f>
        <v>0</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PIRI</v>
      </c>
      <c r="G9" s="22">
        <f ca="1">IFERROR(HLOOKUP(C9,Rango_Admin_DailyClas,4,FALSE),"-")</f>
        <v>0</v>
      </c>
      <c r="H9" s="429">
        <f ca="1">IFERROR(VLOOKUP(H$2,Rango_Admin_DailyPred,MATCH($F9,Rango_Admin_DailyPred_Primera,0)+1,0),"-")</f>
        <v>0</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OSCAR</v>
      </c>
      <c r="G10" s="22">
        <f ca="1">IFERROR(HLOOKUP(C10,Rango_Admin_DailyClas,4,FALSE),"-")</f>
        <v>0</v>
      </c>
      <c r="H10" s="429">
        <f ca="1">IFERROR(VLOOKUP(H$2,Rango_Admin_DailyPred,MATCH($F10,Rango_Admin_DailyPred_Primera,0)+1,0),"-")</f>
        <v>0</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PACO</v>
      </c>
      <c r="G11" s="22">
        <f ca="1">IFERROR(HLOOKUP(C11,Rango_Admin_DailyClas,4,FALSE),"-")</f>
        <v>0</v>
      </c>
      <c r="H11" s="429">
        <f ca="1">IFERROR(VLOOKUP(H$2,Rango_Admin_DailyPred,MATCH($F11,Rango_Admin_DailyPred_Primera,0)+1,0),"-")</f>
        <v>0</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ALFON</v>
      </c>
      <c r="G12" s="22">
        <f ca="1">IFERROR(HLOOKUP(C12,Rango_Admin_DailyClas,4,FALSE),"-")</f>
        <v>0</v>
      </c>
      <c r="H12" s="429">
        <f ca="1">IFERROR(VLOOKUP(H$2,Rango_Admin_DailyPred,MATCH($F12,Rango_Admin_DailyPred_Primera,0)+1,0),"-")</f>
        <v>0</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BONERA</v>
      </c>
      <c r="G13" s="22">
        <f ca="1">IFERROR(HLOOKUP(C13,Rango_Admin_DailyClas,4,FALSE),"-")</f>
        <v>0</v>
      </c>
      <c r="H13" s="429">
        <f ca="1">IFERROR(VLOOKUP(H$2,Rango_Admin_DailyPred,MATCH($F13,Rango_Admin_DailyPred_Primera,0)+1,0),"-")</f>
        <v>0</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MAICKY</v>
      </c>
      <c r="G14" s="22">
        <f ca="1">IFERROR(HLOOKUP(C14,Rango_Admin_DailyClas,4,FALSE),"-")</f>
        <v>0</v>
      </c>
      <c r="H14" s="429">
        <f ca="1">IFERROR(VLOOKUP(H$2,Rango_Admin_DailyPred,MATCH($F14,Rango_Admin_DailyPred_Primera,0)+1,0),"-")</f>
        <v>0</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CHEN</v>
      </c>
      <c r="G15" s="22">
        <f ca="1">IFERROR(HLOOKUP(C15,Rango_Admin_DailyClas,4,FALSE),"-")</f>
        <v>0</v>
      </c>
      <c r="H15" s="429">
        <f ca="1">IFERROR(VLOOKUP(H$2,Rango_Admin_DailyPred,MATCH($F15,Rango_Admin_DailyPred_Primera,0)+1,0),"-")</f>
        <v>0</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OBLI</v>
      </c>
      <c r="G16" s="22">
        <f ca="1">IFERROR(HLOOKUP(C16,Rango_Admin_DailyClas,4,FALSE),"-")</f>
        <v>0</v>
      </c>
      <c r="H16" s="429">
        <f ca="1">IFERROR(VLOOKUP(H$2,Rango_Admin_DailyPred,MATCH($F16,Rango_Admin_DailyPred_Primera,0)+1,0),"-")</f>
        <v>0</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ARTURO</v>
      </c>
      <c r="G17" s="22">
        <f ca="1">IFERROR(HLOOKUP(C17,Rango_Admin_DailyClas,4,FALSE),"-")</f>
        <v>0</v>
      </c>
      <c r="H17" s="429">
        <f ca="1">IFERROR(VLOOKUP(H$2,Rango_Admin_DailyPred,MATCH($F17,Rango_Admin_DailyPred_Primera,0)+1,0),"-")</f>
        <v>0</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RONIE</v>
      </c>
      <c r="G18" s="22">
        <f ca="1">IFERROR(HLOOKUP(C18,Rango_Admin_DailyClas,4,FALSE),"-")</f>
        <v>0</v>
      </c>
      <c r="H18" s="429">
        <f ca="1">IFERROR(VLOOKUP(H$2,Rango_Admin_DailyPred,MATCH($F18,Rango_Admin_DailyPred_Primera,0)+1,0),"-")</f>
        <v>0</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GAGO</v>
      </c>
      <c r="G19" s="22">
        <f ca="1">IFERROR(HLOOKUP(C19,Rango_Admin_DailyClas,4,FALSE),"-")</f>
        <v>0</v>
      </c>
      <c r="H19" s="429">
        <f ca="1">IFERROR(VLOOKUP(H$2,Rango_Admin_DailyPred,MATCH($F19,Rango_Admin_DailyPred_Primera,0)+1,0),"-")</f>
        <v>0</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CASAS</v>
      </c>
      <c r="G20" s="22">
        <f ca="1">IFERROR(HLOOKUP(C20,Rango_Admin_DailyClas,4,FALSE),"-")</f>
        <v>0</v>
      </c>
      <c r="H20" s="429">
        <f ca="1">IFERROR(VLOOKUP(H$2,Rango_Admin_DailyPred,MATCH($F20,Rango_Admin_DailyPred_Primera,0)+1,0),"-")</f>
        <v>0</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PANDO</v>
      </c>
      <c r="G21" s="22">
        <f ca="1">IFERROR(HLOOKUP(C21,Rango_Admin_DailyClas,4,FALSE),"-")</f>
        <v>0</v>
      </c>
      <c r="H21" s="429">
        <f ca="1">IFERROR(VLOOKUP(H$2,Rango_Admin_DailyPred,MATCH($F21,Rango_Admin_DailyPred_Primera,0)+1,0),"-")</f>
        <v>0</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CHISCO</v>
      </c>
      <c r="G22" s="22">
        <f ca="1">IFERROR(HLOOKUP(C22,Rango_Admin_DailyClas,4,FALSE),"-")</f>
        <v>0</v>
      </c>
      <c r="H22" s="429">
        <f ca="1">IFERROR(VLOOKUP(H$2,Rango_Admin_DailyPred,MATCH($F22,Rango_Admin_DailyPred_Primera,0)+1,0),"-")</f>
        <v>0</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19</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11/06/26 (Individual)</v>
      </c>
      <c r="E8" s="455">
        <f ca="1">IFERROR(SUMIF(ADMIN!$G$6:$G$258,$F$5,ADMIN!$F$6:$F$258),"")</f>
        <v>7</v>
      </c>
      <c r="F8" s="456">
        <f ca="1">IFERROR(E8/$B$46,0)</f>
        <v>1.5066724063710719E-3</v>
      </c>
      <c r="G8" s="17"/>
      <c r="H8" s="454" t="str" cm="1">
        <f t="array" aca="1" ref="H8:I13" ca="1">_xlfn.SORTBY(OFFSET($Y$35,0,0,COUNTA(_xlfn.ANCHORARRAY($Y$35)),2),OFFSET(Z35,0,0,COUNTA(_xlfn.ANCHORARRAY($Y$35))),-1)</f>
        <v>1|2-0</v>
      </c>
      <c r="I8" s="704">
        <f ca="1"/>
        <v>6</v>
      </c>
      <c r="J8" s="706" cm="1">
        <f t="array" aca="1" ref="J8:J13"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K13"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13</v>
      </c>
      <c r="P8" s="469">
        <f ca="1">COUNTIF(ADMIN!$S$210:INDEX(ADMIN!$S$210:$HL$217,8,ADMIN!$D$5*3-1),Stats!$L8)-SUM(Q8:T8)</f>
        <v>2</v>
      </c>
      <c r="Q8" s="469">
        <f ca="1">COUNTIF(ADMIN!$S$226:INDEX(ADMIN!$S$226:$HL$229,4,ADMIN!$D$5*3-1),Stats!$L8)-SUM(R8:T8)</f>
        <v>0</v>
      </c>
      <c r="R8" s="469">
        <f ca="1">IFERROR(COUNTIF(ADMIN!$S$252:INDEX(ADMIN!$S$252:$HL$252,1,ADMIN!$D$5*3-1),Stats!$L8),0)</f>
        <v>2</v>
      </c>
      <c r="S8" s="469">
        <f ca="1">IFERROR(COUNTIF(ADMIN!$S$251:INDEX(ADMIN!$S$251:$HL$251,1,ADMIN!$D$5*3-1),Stats!$L8),0)</f>
        <v>0</v>
      </c>
      <c r="T8" s="470">
        <f ca="1">IFERROR(COUNTIF(ADMIN!$S$250:INDEX(ADMIN!$S$250:$HL$250,1,ADMIN!$D$5*3-1),Stats!$L8),0)</f>
        <v>2</v>
      </c>
      <c r="U8" s="25"/>
      <c r="V8" s="11">
        <f t="shared" ref="V8:V55" ca="1" si="0">SUM(M8:T8)</f>
        <v>19</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11/06/26 (Individual)</v>
      </c>
      <c r="E9" s="455">
        <f ca="1">IFERROR(SUMIF($A$22:$A$45,"&lt;"&amp;$F$5,$B$22:$B$45),"")</f>
        <v>0</v>
      </c>
      <c r="F9" s="456">
        <f ca="1">IFERROR(E9/$B$46,0)</f>
        <v>0</v>
      </c>
      <c r="G9" s="17"/>
      <c r="H9" s="457" t="str">
        <f ca="1"/>
        <v>1|2-1</v>
      </c>
      <c r="I9" s="704">
        <f ca="1"/>
        <v>6</v>
      </c>
      <c r="J9" s="706">
        <f ca="1"/>
        <v>0</v>
      </c>
      <c r="K9" s="404">
        <f ca="1"/>
        <v>0</v>
      </c>
      <c r="L9" s="132" t="str">
        <f ca="1">Horarios!Q4</f>
        <v>Arabia Saudita</v>
      </c>
      <c r="M9" s="471">
        <f ca="1">ADMIN!$D$5-SUM(N9:T9)</f>
        <v>11</v>
      </c>
      <c r="N9" s="471">
        <f ca="1">IFERROR(COUNTIF(ADMIN!$S$130:INDEX(ADMIN!$S$130:$HL$161,32,ADMIN!$D$5*3-1),Stats!$L9)-SUM(O9:T9),0)</f>
        <v>8</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19</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11/06/26 (Individual)</v>
      </c>
      <c r="E10" s="455">
        <f ca="1">IFERROR(SUMIF($A$22:$A$45,"&lt;="&amp;$F$5,$B$22:$B$45),"")</f>
        <v>7</v>
      </c>
      <c r="F10" s="456">
        <f ca="1">IFERROR(E10/$B$46,0)</f>
        <v>1.5066724063710719E-3</v>
      </c>
      <c r="G10" s="17"/>
      <c r="H10" s="454" t="str">
        <f ca="1"/>
        <v>1|3-1</v>
      </c>
      <c r="I10" s="704">
        <f ca="1"/>
        <v>3</v>
      </c>
      <c r="J10" s="706">
        <f ca="1"/>
        <v>0</v>
      </c>
      <c r="K10" s="404">
        <f ca="1"/>
        <v>0</v>
      </c>
      <c r="L10" s="133" t="str">
        <f ca="1">Horarios!Q5</f>
        <v>Argelia</v>
      </c>
      <c r="M10" s="469">
        <f ca="1">ADMIN!$D$5-SUM(N10:T10)</f>
        <v>5</v>
      </c>
      <c r="N10" s="469">
        <f ca="1">IFERROR(COUNTIF(ADMIN!$S$130:INDEX(ADMIN!$S$130:$HL$161,32,ADMIN!$D$5*3-1),Stats!$L10)-SUM(O10:T10),0)</f>
        <v>14</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19</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4639</v>
      </c>
      <c r="F11" s="456">
        <f ca="1">IFERROR(1-F10,0)</f>
        <v>0.99849332759362897</v>
      </c>
      <c r="G11" s="17"/>
      <c r="H11" s="457" t="str">
        <f ca="1"/>
        <v>1|1-0</v>
      </c>
      <c r="I11" s="704">
        <f ca="1"/>
        <v>2</v>
      </c>
      <c r="J11" s="706">
        <f ca="1"/>
        <v>0</v>
      </c>
      <c r="K11" s="404">
        <f ca="1"/>
        <v>0</v>
      </c>
      <c r="L11" s="132" t="str">
        <f ca="1">Horarios!Q6</f>
        <v>Argentina</v>
      </c>
      <c r="M11" s="471">
        <f ca="1">ADMIN!$D$5-SUM(N11:T11)</f>
        <v>0</v>
      </c>
      <c r="N11" s="471">
        <f ca="1">IFERROR(COUNTIF(ADMIN!$S$130:INDEX(ADMIN!$S$130:$HL$161,32,ADMIN!$D$5*3-1),Stats!$L11)-SUM(O11:T11),0)</f>
        <v>1</v>
      </c>
      <c r="O11" s="471">
        <f ca="1">COUNTIF(ADMIN!$S$182:INDEX(ADMIN!$S$182:$HL$197,16,ADMIN!$D$5*3-1),Stats!$L11)-SUM(P11:T11)</f>
        <v>0</v>
      </c>
      <c r="P11" s="471">
        <f ca="1">COUNTIF(ADMIN!$S$210:INDEX(ADMIN!$S$210:$HL$217,8,ADMIN!$D$5*3-1),Stats!$L11)-SUM(Q11:T11)</f>
        <v>11</v>
      </c>
      <c r="Q11" s="471">
        <f ca="1">COUNTIF(ADMIN!$S$226:INDEX(ADMIN!$S$226:$HL$229,4,ADMIN!$D$5*3-1),Stats!$L11)-SUM(R11:T11)</f>
        <v>1</v>
      </c>
      <c r="R11" s="471">
        <f ca="1">IFERROR(COUNTIF(ADMIN!$S$252:INDEX(ADMIN!$S$252:$HL$252,1,ADMIN!$D$5*3-1),Stats!$L11),0)</f>
        <v>1</v>
      </c>
      <c r="S11" s="471">
        <f ca="1">IFERROR(COUNTIF(ADMIN!$S$251:INDEX(ADMIN!$S$251:$HL$251,1,ADMIN!$D$5*3-1),Stats!$L11),0)</f>
        <v>5</v>
      </c>
      <c r="T11" s="472">
        <f ca="1">IFERROR(COUNTIF(ADMIN!$S$250:INDEX(ADMIN!$S$250:$HL$250,1,ADMIN!$D$5*3-1),Stats!$L11),0)</f>
        <v>0</v>
      </c>
      <c r="U11" s="25"/>
      <c r="V11" s="11">
        <f t="shared" ca="1" si="0"/>
        <v>19</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133</v>
      </c>
      <c r="F12" s="456">
        <f ca="1">IFERROR(E12/B47,0)</f>
        <v>1.5066724063710719E-3</v>
      </c>
      <c r="G12" s="17"/>
      <c r="H12" s="454" t="str">
        <f ca="1"/>
        <v>2|1-2</v>
      </c>
      <c r="I12" s="704">
        <f ca="1"/>
        <v>1</v>
      </c>
      <c r="J12" s="706">
        <f ca="1"/>
        <v>0</v>
      </c>
      <c r="K12" s="404">
        <f ca="1"/>
        <v>0</v>
      </c>
      <c r="L12" s="133" t="str">
        <f ca="1">Horarios!Q7</f>
        <v>Australia</v>
      </c>
      <c r="M12" s="469">
        <f ca="1">ADMIN!$D$5-SUM(N12:T12)</f>
        <v>15</v>
      </c>
      <c r="N12" s="469">
        <f ca="1">IFERROR(COUNTIF(ADMIN!$S$130:INDEX(ADMIN!$S$130:$HL$161,32,ADMIN!$D$5*3-1),Stats!$L12)-SUM(O12:T12),0)</f>
        <v>1</v>
      </c>
      <c r="O12" s="469">
        <f ca="1">COUNTIF(ADMIN!$S$182:INDEX(ADMIN!$S$182:$HL$197,16,ADMIN!$D$5*3-1),Stats!$L12)-SUM(P12:T12)</f>
        <v>3</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19</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t="str">
        <f ca="1"/>
        <v>X|1-1</v>
      </c>
      <c r="I13" s="704">
        <f ca="1"/>
        <v>1</v>
      </c>
      <c r="J13" s="706">
        <f ca="1"/>
        <v>0</v>
      </c>
      <c r="K13" s="404">
        <f ca="1"/>
        <v>0</v>
      </c>
      <c r="L13" s="132" t="str">
        <f ca="1">Horarios!Q8</f>
        <v>Austria</v>
      </c>
      <c r="M13" s="471">
        <f ca="1">ADMIN!$D$5-SUM(N13:T13)</f>
        <v>1</v>
      </c>
      <c r="N13" s="471">
        <f ca="1">IFERROR(COUNTIF(ADMIN!$S$130:INDEX(ADMIN!$S$130:$HL$161,32,ADMIN!$D$5*3-1),Stats!$L13)-SUM(O13:T13),0)</f>
        <v>16</v>
      </c>
      <c r="O13" s="471">
        <f ca="1">COUNTIF(ADMIN!$S$182:INDEX(ADMIN!$S$182:$HL$197,16,ADMIN!$D$5*3-1),Stats!$L13)-SUM(P13:T13)</f>
        <v>2</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19</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11/06/26?</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6</v>
      </c>
      <c r="P14" s="469">
        <f ca="1">COUNTIF(ADMIN!$S$210:INDEX(ADMIN!$S$210:$HL$217,8,ADMIN!$D$5*3-1),Stats!$L14)-SUM(Q14:T14)</f>
        <v>13</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19</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11/06/26?</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4</v>
      </c>
      <c r="N15" s="471">
        <f ca="1">IFERROR(COUNTIF(ADMIN!$S$130:INDEX(ADMIN!$S$130:$HL$161,32,ADMIN!$D$5*3-1),Stats!$L15)-SUM(O15:T15),0)</f>
        <v>14</v>
      </c>
      <c r="O15" s="471">
        <f ca="1">COUNTIF(ADMIN!$S$182:INDEX(ADMIN!$S$182:$HL$197,16,ADMIN!$D$5*3-1),Stats!$L15)-SUM(P15:T15)</f>
        <v>0</v>
      </c>
      <c r="P15" s="471">
        <f ca="1">COUNTIF(ADMIN!$S$210:INDEX(ADMIN!$S$210:$HL$217,8,ADMIN!$D$5*3-1),Stats!$L15)-SUM(Q15:T15)</f>
        <v>1</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19</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11/06/26?</v>
      </c>
      <c r="E16" s="455">
        <f ca="1">IFERROR(IF(SUM(ADMIN!$D$8:$D$47)=0,0,COUNTIF(DailyClas!$G$4:INDEX(DailyClas!$G$4:$G$75,ADMIN!$D$5),0)),0)</f>
        <v>19</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7</v>
      </c>
      <c r="P16" s="469">
        <f ca="1">COUNTIF(ADMIN!$S$210:INDEX(ADMIN!$S$210:$HL$217,8,ADMIN!$D$5*3-1),Stats!$L16)-SUM(Q16:T16)</f>
        <v>4</v>
      </c>
      <c r="Q16" s="469">
        <f ca="1">COUNTIF(ADMIN!$S$226:INDEX(ADMIN!$S$226:$HL$229,4,ADMIN!$D$5*3-1),Stats!$L16)-SUM(R16:T16)</f>
        <v>3</v>
      </c>
      <c r="R16" s="469">
        <f ca="1">IFERROR(COUNTIF(ADMIN!$S$252:INDEX(ADMIN!$S$252:$HL$252,1,ADMIN!$D$5*3-1),Stats!$L16),0)</f>
        <v>2</v>
      </c>
      <c r="S16" s="469">
        <f ca="1">IFERROR(COUNTIF(ADMIN!$S$251:INDEX(ADMIN!$S$251:$HL$251,1,ADMIN!$D$5*3-1),Stats!$L16),0)</f>
        <v>2</v>
      </c>
      <c r="T16" s="470">
        <f ca="1">IFERROR(COUNTIF(ADMIN!$S$250:INDEX(ADMIN!$S$250:$HL$250,1,ADMIN!$D$5*3-1),Stats!$L16),0)</f>
        <v>1</v>
      </c>
      <c r="U16" s="25"/>
      <c r="V16" s="11">
        <f t="shared" ca="1" si="0"/>
        <v>19</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11/06/26?</v>
      </c>
      <c r="E17" s="459">
        <f ca="1">IFERROR(AVERAGE(DailyClas!$G$4:INDEX(DailyClas!$G$4:$G$75,ADMIN!$D$5)),0)</f>
        <v>0</v>
      </c>
      <c r="F17" s="460"/>
      <c r="G17" s="17"/>
      <c r="H17" s="457"/>
      <c r="I17" s="704"/>
      <c r="J17" s="707"/>
      <c r="K17" s="404"/>
      <c r="L17" s="132" t="str">
        <f ca="1">Horarios!Q12</f>
        <v>Cabo Verde</v>
      </c>
      <c r="M17" s="471">
        <f ca="1">ADMIN!$D$5-SUM(N17:T17)</f>
        <v>16</v>
      </c>
      <c r="N17" s="471">
        <f ca="1">IFERROR(COUNTIF(ADMIN!$S$130:INDEX(ADMIN!$S$130:$HL$161,32,ADMIN!$D$5*3-1),Stats!$L17)-SUM(O17:T17),0)</f>
        <v>3</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19</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v>
      </c>
      <c r="N18" s="469">
        <f ca="1">IFERROR(COUNTIF(ADMIN!$S$130:INDEX(ADMIN!$S$130:$HL$161,32,ADMIN!$D$5*3-1),Stats!$L18)-SUM(O18:T18),0)</f>
        <v>8</v>
      </c>
      <c r="O18" s="469">
        <f ca="1">COUNTIF(ADMIN!$S$182:INDEX(ADMIN!$S$182:$HL$197,16,ADMIN!$D$5*3-1),Stats!$L18)-SUM(P18:T18)</f>
        <v>10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19</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16</v>
      </c>
      <c r="N19" s="471">
        <f ca="1">IFERROR(COUNTIF(ADMIN!$S$130:INDEX(ADMIN!$S$130:$HL$161,32,ADMIN!$D$5*3-1),Stats!$L19)-SUM(O19:T19),0)</f>
        <v>3</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19</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2</v>
      </c>
      <c r="N20" s="469">
        <f ca="1">IFERROR(COUNTIF(ADMIN!$S$130:INDEX(ADMIN!$S$130:$HL$161,32,ADMIN!$D$5*3-1),Stats!$L20)-SUM(O20:T20),0)</f>
        <v>9</v>
      </c>
      <c r="O20" s="469">
        <f ca="1">COUNTIF(ADMIN!$S$182:INDEX(ADMIN!$S$182:$HL$197,16,ADMIN!$D$5*3-1),Stats!$L20)-SUM(P20:T20)</f>
        <v>8</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19</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2</v>
      </c>
      <c r="N21" s="471">
        <f ca="1">IFERROR(COUNTIF(ADMIN!$S$130:INDEX(ADMIN!$S$130:$HL$161,32,ADMIN!$D$5*3-1),Stats!$L21)-SUM(O21:T21),0)</f>
        <v>12</v>
      </c>
      <c r="O21" s="471">
        <f ca="1">COUNTIF(ADMIN!$S$182:INDEX(ADMIN!$S$182:$HL$197,16,ADMIN!$D$5*3-1),Stats!$L21)-SUM(P21:T21)</f>
        <v>4</v>
      </c>
      <c r="P21" s="471">
        <f ca="1">COUNTIF(ADMIN!$S$210:INDEX(ADMIN!$S$210:$HL$217,8,ADMIN!$D$5*3-1),Stats!$L21)-SUM(Q21:T21)</f>
        <v>1</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19</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7</v>
      </c>
      <c r="C22" s="17"/>
      <c r="D22" s="17"/>
      <c r="E22" s="17"/>
      <c r="F22" s="17"/>
      <c r="G22" s="17"/>
      <c r="H22" s="454"/>
      <c r="I22" s="704"/>
      <c r="J22" s="475"/>
      <c r="K22" s="475"/>
      <c r="L22" s="133" t="str">
        <f ca="1">Horarios!Q17</f>
        <v>Costa de Marfil</v>
      </c>
      <c r="M22" s="469">
        <f ca="1">ADMIN!$D$5-SUM(N22:T22)</f>
        <v>2</v>
      </c>
      <c r="N22" s="469">
        <f ca="1">IFERROR(COUNTIF(ADMIN!$S$130:INDEX(ADMIN!$S$130:$HL$161,32,ADMIN!$D$5*3-1),Stats!$L22)-SUM(O22:T22),0)</f>
        <v>16</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19</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14</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9</v>
      </c>
      <c r="O23" s="471">
        <f ca="1">COUNTIF(ADMIN!$S$182:INDEX(ADMIN!$S$182:$HL$197,16,ADMIN!$D$5*3-1),Stats!$L23)-SUM(P23:T23)</f>
        <v>10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19</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14</v>
      </c>
      <c r="C24" s="17"/>
      <c r="D24" s="17"/>
      <c r="E24" s="17"/>
      <c r="F24" s="17"/>
      <c r="G24" s="17"/>
      <c r="H24" s="454"/>
      <c r="I24" s="704"/>
      <c r="J24" s="475"/>
      <c r="K24" s="475"/>
      <c r="L24" s="133" t="str">
        <f ca="1">Horarios!Q19</f>
        <v>Curazao</v>
      </c>
      <c r="M24" s="469">
        <f ca="1">ADMIN!$D$5-SUM(N24:T24)</f>
        <v>16</v>
      </c>
      <c r="N24" s="469">
        <f ca="1">IFERROR(COUNTIF(ADMIN!$S$130:INDEX(ADMIN!$S$130:$HL$161,32,ADMIN!$D$5*3-1),Stats!$L24)-SUM(O24:T24),0)</f>
        <v>3</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19</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42</v>
      </c>
      <c r="C25" s="17"/>
      <c r="D25" s="17"/>
      <c r="E25" s="17"/>
      <c r="F25" s="17"/>
      <c r="G25" s="17"/>
      <c r="H25" s="457"/>
      <c r="I25" s="704"/>
      <c r="J25" s="475"/>
      <c r="K25" s="475"/>
      <c r="L25" s="132" t="str">
        <f ca="1">Horarios!Q20</f>
        <v>Ecuador</v>
      </c>
      <c r="M25" s="471">
        <f ca="1">ADMIN!$D$5-SUM(N25:T25)</f>
        <v>3</v>
      </c>
      <c r="N25" s="471">
        <f ca="1">IFERROR(COUNTIF(ADMIN!$S$130:INDEX(ADMIN!$S$130:$HL$161,32,ADMIN!$D$5*3-1),Stats!$L25)-SUM(O25:T25),0)</f>
        <v>13</v>
      </c>
      <c r="O25" s="471">
        <f ca="1">COUNTIF(ADMIN!$S$182:INDEX(ADMIN!$S$182:$HL$197,16,ADMIN!$D$5*3-1),Stats!$L25)-SUM(P25:T25)</f>
        <v>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19</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63</v>
      </c>
      <c r="C26" s="17"/>
      <c r="D26" s="17"/>
      <c r="E26" s="17"/>
      <c r="F26" s="17"/>
      <c r="G26" s="17"/>
      <c r="H26" s="454"/>
      <c r="I26" s="704"/>
      <c r="J26" s="475"/>
      <c r="K26" s="475"/>
      <c r="L26" s="133" t="str">
        <f ca="1">Horarios!Q21</f>
        <v>Egipto</v>
      </c>
      <c r="M26" s="469">
        <f ca="1">ADMIN!$D$5-SUM(N26:T26)</f>
        <v>2</v>
      </c>
      <c r="N26" s="469">
        <f ca="1">IFERROR(COUNTIF(ADMIN!$S$130:INDEX(ADMIN!$S$130:$HL$161,32,ADMIN!$D$5*3-1),Stats!$L26)-SUM(O26:T26),0)</f>
        <v>13</v>
      </c>
      <c r="O26" s="469">
        <f ca="1">COUNTIF(ADMIN!$S$182:INDEX(ADMIN!$S$182:$HL$197,16,ADMIN!$D$5*3-1),Stats!$L26)-SUM(P26:T26)</f>
        <v>4</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19</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21</v>
      </c>
      <c r="C27" s="17"/>
      <c r="D27" s="17"/>
      <c r="E27" s="17"/>
      <c r="F27" s="17"/>
      <c r="G27" s="17"/>
      <c r="H27" s="457"/>
      <c r="I27" s="704"/>
      <c r="J27" s="475"/>
      <c r="K27" s="475"/>
      <c r="L27" s="132" t="str">
        <f ca="1">Horarios!Q22</f>
        <v>Escocia</v>
      </c>
      <c r="M27" s="471">
        <f ca="1">ADMIN!$D$5-SUM(N27:T27)</f>
        <v>5</v>
      </c>
      <c r="N27" s="471">
        <f ca="1">IFERROR(COUNTIF(ADMIN!$S$130:INDEX(ADMIN!$S$130:$HL$161,32,ADMIN!$D$5*3-1),Stats!$L27)-SUM(O27:T27),0)</f>
        <v>13</v>
      </c>
      <c r="O27" s="471">
        <f ca="1">COUNTIF(ADMIN!$S$182:INDEX(ADMIN!$S$182:$HL$197,16,ADMIN!$D$5*3-1),Stats!$L27)-SUM(P27:T27)</f>
        <v>1</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19</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28</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5</v>
      </c>
      <c r="S28" s="469">
        <f ca="1">IFERROR(COUNTIF(ADMIN!$S$251:INDEX(ADMIN!$S$251:$HL$251,1,ADMIN!$D$5*3-1),Stats!$L28),0)</f>
        <v>0</v>
      </c>
      <c r="T28" s="470">
        <f ca="1">IFERROR(COUNTIF(ADMIN!$S$250:INDEX(ADMIN!$S$250:$HL$250,1,ADMIN!$D$5*3-1),Stats!$L28),0)</f>
        <v>14</v>
      </c>
      <c r="U28" s="25"/>
      <c r="V28" s="11">
        <f t="shared" ca="1" si="0"/>
        <v>19</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49</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4</v>
      </c>
      <c r="O29" s="471">
        <f ca="1">COUNTIF(ADMIN!$S$182:INDEX(ADMIN!$S$182:$HL$197,16,ADMIN!$D$5*3-1),Stats!$L29)-SUM(P29:T29)</f>
        <v>14</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19</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21</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2</v>
      </c>
      <c r="P30" s="469">
        <f ca="1">COUNTIF(ADMIN!$S$210:INDEX(ADMIN!$S$210:$HL$217,8,ADMIN!$D$5*3-1),Stats!$L30)-SUM(Q30:T30)</f>
        <v>0</v>
      </c>
      <c r="Q30" s="469">
        <f ca="1">COUNTIF(ADMIN!$S$226:INDEX(ADMIN!$S$226:$HL$229,4,ADMIN!$D$5*3-1),Stats!$L30)-SUM(R30:T30)</f>
        <v>4</v>
      </c>
      <c r="R30" s="469">
        <f ca="1">IFERROR(COUNTIF(ADMIN!$S$252:INDEX(ADMIN!$S$252:$HL$252,1,ADMIN!$D$5*3-1),Stats!$L30),0)</f>
        <v>8</v>
      </c>
      <c r="S30" s="469">
        <f ca="1">IFERROR(COUNTIF(ADMIN!$S$251:INDEX(ADMIN!$S$251:$HL$251,1,ADMIN!$D$5*3-1),Stats!$L30),0)</f>
        <v>4</v>
      </c>
      <c r="T30" s="470">
        <f ca="1">IFERROR(COUNTIF(ADMIN!$S$250:INDEX(ADMIN!$S$250:$HL$250,1,ADMIN!$D$5*3-1),Stats!$L30),0)</f>
        <v>0</v>
      </c>
      <c r="U30" s="25"/>
      <c r="V30" s="11">
        <f t="shared" ca="1" si="0"/>
        <v>19</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42</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9</v>
      </c>
      <c r="O31" s="471">
        <f ca="1">COUNTIF(ADMIN!$S$182:INDEX(ADMIN!$S$182:$HL$197,16,ADMIN!$D$5*3-1),Stats!$L31)-SUM(P31:T31)</f>
        <v>1</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19</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49</v>
      </c>
      <c r="C32" s="17"/>
      <c r="D32" s="17"/>
      <c r="E32" s="17"/>
      <c r="F32" s="17"/>
      <c r="G32" s="17"/>
      <c r="H32" s="17"/>
      <c r="I32" s="17"/>
      <c r="J32" s="475"/>
      <c r="K32" s="475"/>
      <c r="L32" s="133" t="str">
        <f ca="1">Horarios!Q27</f>
        <v>Haití</v>
      </c>
      <c r="M32" s="469">
        <f ca="1">ADMIN!$D$5-SUM(N32:T32)</f>
        <v>19</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19</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21</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3</v>
      </c>
      <c r="P33" s="471">
        <f ca="1">COUNTIF(ADMIN!$S$210:INDEX(ADMIN!$S$210:$HL$217,8,ADMIN!$D$5*3-1),Stats!$L33)-SUM(Q33:T33)</f>
        <v>9</v>
      </c>
      <c r="Q33" s="471">
        <f ca="1">COUNTIF(ADMIN!$S$226:INDEX(ADMIN!$S$226:$HL$229,4,ADMIN!$D$5*3-1),Stats!$L33)-SUM(R33:T33)</f>
        <v>4</v>
      </c>
      <c r="R33" s="471">
        <f ca="1">IFERROR(COUNTIF(ADMIN!$S$252:INDEX(ADMIN!$S$252:$HL$252,1,ADMIN!$D$5*3-1),Stats!$L33),0)</f>
        <v>0</v>
      </c>
      <c r="S33" s="471">
        <f ca="1">IFERROR(COUNTIF(ADMIN!$S$251:INDEX(ADMIN!$S$251:$HL$251,1,ADMIN!$D$5*3-1),Stats!$L33),0)</f>
        <v>2</v>
      </c>
      <c r="T33" s="472">
        <f ca="1">IFERROR(COUNTIF(ADMIN!$S$250:INDEX(ADMIN!$S$250:$HL$250,1,ADMIN!$D$5*3-1),Stats!$L33),0)</f>
        <v>0</v>
      </c>
      <c r="U33" s="25"/>
      <c r="V33" s="11">
        <f t="shared" ca="1" si="0"/>
        <v>19</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28</v>
      </c>
      <c r="C34" s="17"/>
      <c r="D34" s="25">
        <f ca="1">IFERROR(IF(OR(AND($F$5&lt;19,LEFT($H$8,1)="1"),AND($F$5&lt;19,LEFT($H$8,1)="2"),AND($F$5&lt;19,LEFT($H$8,1)="X")),1,0),0)</f>
        <v>1</v>
      </c>
      <c r="E34" s="25"/>
      <c r="F34" s="25"/>
      <c r="G34" s="17"/>
      <c r="H34" s="17"/>
      <c r="I34" s="17"/>
      <c r="J34" s="475"/>
      <c r="K34" s="475"/>
      <c r="L34" s="133" t="str">
        <f ca="1">Horarios!Q29</f>
        <v>Irak</v>
      </c>
      <c r="M34" s="469">
        <f ca="1">ADMIN!$D$5-SUM(N34:T34)</f>
        <v>19</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19</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55</v>
      </c>
      <c r="C35" s="17"/>
      <c r="D35" s="25">
        <v>1</v>
      </c>
      <c r="E35" s="25">
        <f ca="1">SUMIFS(_xlfn.ANCHORARRAY($Z$35),_xlfn.ANCHORARRAY($AH$35),D35)</f>
        <v>17</v>
      </c>
      <c r="F35" s="25">
        <f ca="1">IFERROR(E35/SUM($E$35:E37),0)</f>
        <v>0.89473684210526316</v>
      </c>
      <c r="G35" s="17"/>
      <c r="H35" s="17"/>
      <c r="I35" s="17"/>
      <c r="J35" s="25"/>
      <c r="K35" s="25"/>
      <c r="L35" s="132" t="str">
        <f ca="1">Horarios!Q30</f>
        <v>Irán</v>
      </c>
      <c r="M35" s="471">
        <f ca="1">ADMIN!$D$5-SUM(N35:T35)</f>
        <v>7</v>
      </c>
      <c r="N35" s="471">
        <f ca="1">IFERROR(COUNTIF(ADMIN!$S$130:INDEX(ADMIN!$S$130:$HL$161,32,ADMIN!$D$5*3-1),Stats!$L35)-SUM(O35:T35),0)</f>
        <v>10</v>
      </c>
      <c r="O35" s="471">
        <f ca="1">COUNTIF(ADMIN!$S$182:INDEX(ADMIN!$S$182:$HL$197,16,ADMIN!$D$5*3-1),Stats!$L35)-SUM(P35:T35)</f>
        <v>2</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19</v>
      </c>
      <c r="W35" s="11" cm="1">
        <f t="array" aca="1" ref="W35:W40" ca="1">IFERROR(IF(_xlfn.ANCHORARRAY(Y35)&lt;&gt;"",COUNTIF(INDEX(DailyPrediction!$G$4:$AQ$81,,MATCH(Stats!$I$5,DailyPrediction!$G$2:$AQ$2,0)),_xlfn.ANCHORARRAY(Y35)),""),"")</f>
        <v>2</v>
      </c>
      <c r="X35" s="11" t="str" cm="1">
        <f t="array" aca="1" ref="X35:X40" ca="1">IFERROR(_xlfn._xlws.SORT(_xlfn.UNIQUE(_xlfn._xlws.FILTER(INDEX(DailyPrediction!$G$4:$AQ$81,,MATCH(Stats!$I$5,DailyPrediction!$G$2:$AQ$2,0)),LEN(INDEX(DailyPrediction!$G$4:$AQ$81,,MATCH(Stats!$I$5,DailyPrediction!$G$2:$AQ$2,0)))&gt;1))),Idiomas!D501)</f>
        <v>1|1-0</v>
      </c>
      <c r="Y35" s="11" t="str" cm="1">
        <f t="array" aca="1" ref="Y35:Y40"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40" ca="1">IFERROR(IF(_xlfn.ANCHORARRAY(Y35)&lt;&gt;"",COUNTIF(INDEX(OFFSET(DailyPrediction!$G$4,0,0,ADMIN!$D$5,COUNTA(DailyPrediction!$A$4:$A$35)),,MATCH(Stats!$I$5,OFFSET(DailyPrediction!$G$2,0,0,1,COUNTA(DailyPrediction!$A$4:$A$35)),0)),_xlfn.ANCHORARRAY(Y35)),""),"")</f>
        <v>2</v>
      </c>
      <c r="AA35" s="11" cm="1">
        <f t="array" aca="1" ref="AA35:AA4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4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40" ca="1">_xlfn.SORTBY(OFFSET($Y$35,0,0,COUNTA(_xlfn.ANCHORARRAY($Y$35)),3),OFFSET(Z35,0,0,COUNTA(_xlfn.ANCHORARRAY($Y$35))),-1)</f>
        <v>1|2-0</v>
      </c>
      <c r="AD35" s="11">
        <f ca="1"/>
        <v>6</v>
      </c>
      <c r="AE35" s="11">
        <f ca="1"/>
        <v>0</v>
      </c>
      <c r="AF35" s="11"/>
      <c r="AG35" s="11" t="str" cm="1">
        <f t="array" aca="1" ref="AG35" ca="1">_xlfn.UNIQUE(_xlfn._xlws.FILTER(DailyPrediction!$A$4:$A$35,DailyPrediction!$A$4:$A$35&lt;&gt;""))</f>
        <v>México-Sudáfrica</v>
      </c>
      <c r="AH35" s="11" t="str" cm="1">
        <f t="array" aca="1" ref="AH35:AH40" ca="1">LEFT(OFFSET(_xlfn.ANCHORARRAY(Y35),0,0,COUNTA(_xlfn.ANCHORARRAY(Y35)),1))</f>
        <v>1</v>
      </c>
      <c r="AI35" s="11" t="str" cm="1">
        <f t="array" aca="1" ref="AI35:AI40"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40"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c r="A36" s="25">
        <v>15</v>
      </c>
      <c r="B36" s="25">
        <f ca="1">IFERROR(SUMIF(ADMIN!$G$6:$G$258,A36,ADMIN!$F$6:$F$258),"")</f>
        <v>68</v>
      </c>
      <c r="C36" s="17"/>
      <c r="D36" s="25" t="s">
        <v>13</v>
      </c>
      <c r="E36" s="25">
        <f ca="1">SUMIFS(_xlfn.ANCHORARRAY($Z$35),_xlfn.ANCHORARRAY($AH$35),D36)</f>
        <v>1</v>
      </c>
      <c r="F36" s="25">
        <f ca="1">IFERROR(E36/SUM($E$35:E38),0)</f>
        <v>5.2631578947368418E-2</v>
      </c>
      <c r="G36" s="17"/>
      <c r="H36" s="17"/>
      <c r="I36" s="17"/>
      <c r="J36" s="25"/>
      <c r="K36" s="25"/>
      <c r="L36" s="133" t="str">
        <f ca="1">Horarios!Q31</f>
        <v>Japón</v>
      </c>
      <c r="M36" s="469">
        <f ca="1">ADMIN!$D$5-SUM(N36:T36)</f>
        <v>1</v>
      </c>
      <c r="N36" s="469">
        <f ca="1">IFERROR(COUNTIF(ADMIN!$S$130:INDEX(ADMIN!$S$130:$HL$161,32,ADMIN!$D$5*3-1),Stats!$L36)-SUM(O36:T36),0)</f>
        <v>17</v>
      </c>
      <c r="O36" s="469">
        <f ca="1">COUNTIF(ADMIN!$S$182:INDEX(ADMIN!$S$182:$HL$197,16,ADMIN!$D$5*3-1),Stats!$L36)-SUM(P36:T36)</f>
        <v>0</v>
      </c>
      <c r="P36" s="469">
        <f ca="1">COUNTIF(ADMIN!$S$210:INDEX(ADMIN!$S$210:$HL$217,8,ADMIN!$D$5*3-1),Stats!$L36)-SUM(Q36:T36)</f>
        <v>0</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19</v>
      </c>
      <c r="W36" s="11">
        <f ca="1"/>
        <v>6</v>
      </c>
      <c r="X36" s="11" t="str">
        <f ca="1"/>
        <v>1|2-0</v>
      </c>
      <c r="Y36" s="11" t="str">
        <f ca="1"/>
        <v>1|2-0</v>
      </c>
      <c r="Z36" s="11">
        <f ca="1"/>
        <v>6</v>
      </c>
      <c r="AA36" s="11">
        <f ca="1"/>
        <v>0</v>
      </c>
      <c r="AB36" s="11">
        <f ca="1"/>
        <v>0</v>
      </c>
      <c r="AC36" s="11" t="str">
        <f ca="1"/>
        <v>1|2-1</v>
      </c>
      <c r="AD36" s="11">
        <f ca="1"/>
        <v>6</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164</v>
      </c>
      <c r="C37" s="17"/>
      <c r="D37" s="25">
        <v>2</v>
      </c>
      <c r="E37" s="25">
        <f ca="1">SUMIFS(_xlfn.ANCHORARRAY($Z$35),_xlfn.ANCHORARRAY($AH$35),D37)</f>
        <v>1</v>
      </c>
      <c r="F37" s="25">
        <f ca="1">IFERROR(E37/SUM($E$35:E39),0)</f>
        <v>5.2631578947368418E-2</v>
      </c>
      <c r="G37" s="17"/>
      <c r="H37" s="17"/>
      <c r="I37" s="17"/>
      <c r="J37" s="25"/>
      <c r="K37" s="25"/>
      <c r="L37" s="132" t="str">
        <f ca="1">Horarios!Q32</f>
        <v>Jordania</v>
      </c>
      <c r="M37" s="471">
        <f ca="1">ADMIN!$D$5-SUM(N37:T37)</f>
        <v>19</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19</v>
      </c>
      <c r="W37" s="11">
        <f ca="1"/>
        <v>6</v>
      </c>
      <c r="X37" s="11" t="str">
        <f ca="1"/>
        <v>1|2-1</v>
      </c>
      <c r="Y37" s="11" t="str">
        <f ca="1"/>
        <v>1|2-1</v>
      </c>
      <c r="Z37" s="11">
        <f ca="1"/>
        <v>6</v>
      </c>
      <c r="AA37" s="11">
        <f ca="1"/>
        <v>0</v>
      </c>
      <c r="AB37" s="11">
        <f ca="1"/>
        <v>0</v>
      </c>
      <c r="AC37" s="11" t="str">
        <f ca="1"/>
        <v>1|3-1</v>
      </c>
      <c r="AD37" s="11">
        <f ca="1"/>
        <v>3</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82</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12</v>
      </c>
      <c r="O38" s="469">
        <f ca="1">COUNTIF(ADMIN!$S$182:INDEX(ADMIN!$S$182:$HL$197,16,ADMIN!$D$5*3-1),Stats!$L38)-SUM(P38:T38)</f>
        <v>0</v>
      </c>
      <c r="P38" s="469">
        <f ca="1">COUNTIF(ADMIN!$S$210:INDEX(ADMIN!$S$210:$HL$217,8,ADMIN!$D$5*3-1),Stats!$L38)-SUM(Q38:T38)</f>
        <v>6</v>
      </c>
      <c r="Q38" s="469">
        <f ca="1">COUNTIF(ADMIN!$S$226:INDEX(ADMIN!$S$226:$HL$229,4,ADMIN!$D$5*3-1),Stats!$L38)-SUM(R38:T38)</f>
        <v>1</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19</v>
      </c>
      <c r="W38" s="11">
        <f ca="1"/>
        <v>3</v>
      </c>
      <c r="X38" s="11" t="str">
        <f ca="1"/>
        <v>1|3-1</v>
      </c>
      <c r="Y38" s="11" t="str">
        <f ca="1"/>
        <v>1|3-1</v>
      </c>
      <c r="Z38" s="11">
        <f ca="1"/>
        <v>3</v>
      </c>
      <c r="AA38" s="11">
        <f ca="1"/>
        <v>0</v>
      </c>
      <c r="AB38" s="11">
        <f ca="1"/>
        <v>0</v>
      </c>
      <c r="AC38" s="11" t="str">
        <f ca="1"/>
        <v>1|1-0</v>
      </c>
      <c r="AD38" s="11">
        <f ca="1"/>
        <v>2</v>
      </c>
      <c r="AE38" s="11">
        <f ca="1"/>
        <v>0</v>
      </c>
      <c r="AF38" s="11"/>
      <c r="AG38" s="11"/>
      <c r="AH38" s="11" t="str">
        <f ca="1"/>
        <v>1</v>
      </c>
      <c r="AI38" s="11" t="str">
        <f ca="1"/>
        <v>1|3-1</v>
      </c>
      <c r="AJ38" s="11" t="str">
        <f ca="1"/>
        <v>1|3-1</v>
      </c>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102</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4</v>
      </c>
      <c r="O39" s="471">
        <f ca="1">COUNTIF(ADMIN!$S$182:INDEX(ADMIN!$S$182:$HL$197,16,ADMIN!$D$5*3-1),Stats!$L39)-SUM(P39:T39)</f>
        <v>14</v>
      </c>
      <c r="P39" s="471">
        <f ca="1">COUNTIF(ADMIN!$S$210:INDEX(ADMIN!$S$210:$HL$217,8,ADMIN!$D$5*3-1),Stats!$L39)-SUM(Q39:T39)</f>
        <v>1</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19</v>
      </c>
      <c r="W39" s="11">
        <f ca="1"/>
        <v>1</v>
      </c>
      <c r="X39" s="11" t="str">
        <f ca="1"/>
        <v>2|1-2</v>
      </c>
      <c r="Y39" s="11" t="str">
        <f ca="1"/>
        <v>2|1-2</v>
      </c>
      <c r="Z39" s="11">
        <f ca="1"/>
        <v>1</v>
      </c>
      <c r="AA39" s="11">
        <f ca="1"/>
        <v>0</v>
      </c>
      <c r="AB39" s="11">
        <f ca="1"/>
        <v>0</v>
      </c>
      <c r="AC39" s="11" t="str">
        <f ca="1"/>
        <v>2|1-2</v>
      </c>
      <c r="AD39" s="11">
        <f ca="1"/>
        <v>1</v>
      </c>
      <c r="AE39" s="11">
        <f ca="1"/>
        <v>0</v>
      </c>
      <c r="AF39" s="11"/>
      <c r="AG39" s="11"/>
      <c r="AH39" s="11" t="str">
        <f ca="1"/>
        <v>2</v>
      </c>
      <c r="AI39" s="11" t="str">
        <f ca="1"/>
        <v>2|1-2</v>
      </c>
      <c r="AJ39" s="11" t="str">
        <f ca="1"/>
        <v>2|1-2</v>
      </c>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320</v>
      </c>
      <c r="C40" s="17"/>
      <c r="D40" s="453"/>
      <c r="E40" s="453"/>
      <c r="F40" s="453"/>
      <c r="G40" s="17"/>
      <c r="H40" s="17"/>
      <c r="I40" s="17"/>
      <c r="J40" s="25"/>
      <c r="K40" s="25"/>
      <c r="L40" s="133" t="str">
        <f ca="1">Horarios!Q35</f>
        <v>Noruega</v>
      </c>
      <c r="M40" s="469">
        <f ca="1">ADMIN!$D$5-SUM(N40:T40)</f>
        <v>4</v>
      </c>
      <c r="N40" s="469">
        <f ca="1">IFERROR(COUNTIF(ADMIN!$S$130:INDEX(ADMIN!$S$130:$HL$161,32,ADMIN!$D$5*3-1),Stats!$L40)-SUM(O40:T40),0)</f>
        <v>4</v>
      </c>
      <c r="O40" s="469">
        <f ca="1">COUNTIF(ADMIN!$S$182:INDEX(ADMIN!$S$182:$HL$197,16,ADMIN!$D$5*3-1),Stats!$L40)-SUM(P40:T40)</f>
        <v>8</v>
      </c>
      <c r="P40" s="469">
        <f ca="1">COUNTIF(ADMIN!$S$210:INDEX(ADMIN!$S$210:$HL$217,8,ADMIN!$D$5*3-1),Stats!$L40)-SUM(Q40:T40)</f>
        <v>2</v>
      </c>
      <c r="Q40" s="469">
        <f ca="1">COUNTIF(ADMIN!$S$226:INDEX(ADMIN!$S$226:$HL$229,4,ADMIN!$D$5*3-1),Stats!$L40)-SUM(R40:T40)</f>
        <v>0</v>
      </c>
      <c r="R40" s="469">
        <f ca="1">IFERROR(COUNTIF(ADMIN!$S$252:INDEX(ADMIN!$S$252:$HL$252,1,ADMIN!$D$5*3-1),Stats!$L40),0)</f>
        <v>1</v>
      </c>
      <c r="S40" s="469">
        <f ca="1">IFERROR(COUNTIF(ADMIN!$S$251:INDEX(ADMIN!$S$251:$HL$251,1,ADMIN!$D$5*3-1),Stats!$L40),0)</f>
        <v>0</v>
      </c>
      <c r="T40" s="470">
        <f ca="1">IFERROR(COUNTIF(ADMIN!$S$250:INDEX(ADMIN!$S$250:$HL$250,1,ADMIN!$D$5*3-1),Stats!$L40),0)</f>
        <v>0</v>
      </c>
      <c r="U40" s="25"/>
      <c r="V40" s="11">
        <f t="shared" ca="1" si="0"/>
        <v>19</v>
      </c>
      <c r="W40" s="11">
        <f ca="1"/>
        <v>1</v>
      </c>
      <c r="X40" s="11" t="str">
        <f ca="1"/>
        <v>X|1-1</v>
      </c>
      <c r="Y40" s="11" t="str">
        <f ca="1"/>
        <v>X|1-1</v>
      </c>
      <c r="Z40" s="11">
        <f ca="1"/>
        <v>1</v>
      </c>
      <c r="AA40" s="11">
        <f ca="1"/>
        <v>0</v>
      </c>
      <c r="AB40" s="11">
        <f ca="1"/>
        <v>0</v>
      </c>
      <c r="AC40" s="11" t="str">
        <f ca="1"/>
        <v>X|1-1</v>
      </c>
      <c r="AD40" s="11">
        <f ca="1"/>
        <v>1</v>
      </c>
      <c r="AE40" s="11">
        <f ca="1"/>
        <v>0</v>
      </c>
      <c r="AF40" s="11"/>
      <c r="AG40" s="11"/>
      <c r="AH40" s="11" t="str">
        <f ca="1"/>
        <v>X</v>
      </c>
      <c r="AI40" s="11" t="str">
        <f ca="1"/>
        <v>X|1-1</v>
      </c>
      <c r="AJ40" s="11" t="str">
        <f ca="1"/>
        <v>X|1-1</v>
      </c>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816</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19</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640</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11</v>
      </c>
      <c r="Q42" s="469">
        <f ca="1">COUNTIF(ADMIN!$S$226:INDEX(ADMIN!$S$226:$HL$229,4,ADMIN!$D$5*3-1),Stats!$L42)-SUM(R42:T42)</f>
        <v>0</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19</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460</v>
      </c>
      <c r="C43" s="17"/>
      <c r="D43" s="17"/>
      <c r="E43" s="17"/>
      <c r="F43" s="453"/>
      <c r="G43" s="17"/>
      <c r="H43" s="17"/>
      <c r="I43" s="17"/>
      <c r="J43" s="25"/>
      <c r="K43" s="25"/>
      <c r="L43" s="132" t="str">
        <f ca="1">Horarios!Q38</f>
        <v>Panamá</v>
      </c>
      <c r="M43" s="471">
        <f ca="1">ADMIN!$D$5-SUM(N43:T43)</f>
        <v>18</v>
      </c>
      <c r="N43" s="471">
        <f ca="1">IFERROR(COUNTIF(ADMIN!$S$130:INDEX(ADMIN!$S$130:$HL$161,32,ADMIN!$D$5*3-1),Stats!$L43)-SUM(O43:T43),0)</f>
        <v>1</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19</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520</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9</v>
      </c>
      <c r="O44" s="469">
        <f ca="1">COUNTIF(ADMIN!$S$182:INDEX(ADMIN!$S$182:$HL$197,16,ADMIN!$D$5*3-1),Stats!$L44)-SUM(P44:T44)</f>
        <v>4</v>
      </c>
      <c r="P44" s="469">
        <f ca="1">COUNTIF(ADMIN!$S$210:INDEX(ADMIN!$S$210:$HL$217,8,ADMIN!$D$5*3-1),Stats!$L44)-SUM(Q44:T44)</f>
        <v>0</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19</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1020</v>
      </c>
      <c r="C45" s="17"/>
      <c r="D45" s="453"/>
      <c r="E45" s="453" t="str">
        <f ca="1">IF(Home!E41&lt;Home!E42,"",IF(Home!E41&gt;=Home!E42,Idiomas!D511&amp;" "&amp;SUM(WORLDCUP!$BJ$6:$BJ$53,WORLDCUP!$AC$101:$AD$147)&amp;" "&amp;Idiomas!D512,""))</f>
        <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7</v>
      </c>
      <c r="Q45" s="471">
        <f ca="1">COUNTIF(ADMIN!$S$226:INDEX(ADMIN!$S$226:$HL$229,4,ADMIN!$D$5*3-1),Stats!$L45)-SUM(R45:T45)</f>
        <v>4</v>
      </c>
      <c r="R45" s="471">
        <f ca="1">IFERROR(COUNTIF(ADMIN!$S$252:INDEX(ADMIN!$S$252:$HL$252,1,ADMIN!$D$5*3-1),Stats!$L45),0)</f>
        <v>0</v>
      </c>
      <c r="S45" s="471">
        <f ca="1">IFERROR(COUNTIF(ADMIN!$S$251:INDEX(ADMIN!$S$251:$HL$251,1,ADMIN!$D$5*3-1),Stats!$L45),0)</f>
        <v>6</v>
      </c>
      <c r="T45" s="472">
        <f ca="1">IFERROR(COUNTIF(ADMIN!$S$250:INDEX(ADMIN!$S$250:$HL$250,1,ADMIN!$D$5*3-1),Stats!$L45),0)</f>
        <v>2</v>
      </c>
      <c r="U45" s="25"/>
      <c r="V45" s="11">
        <f t="shared" ca="1" si="0"/>
        <v>19</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4646</v>
      </c>
      <c r="C46" s="17"/>
      <c r="D46" s="453"/>
      <c r="E46" s="453"/>
      <c r="F46" s="453"/>
      <c r="G46" s="17"/>
      <c r="H46" s="17"/>
      <c r="I46" s="17"/>
      <c r="J46" s="25"/>
      <c r="K46" s="25"/>
      <c r="L46" s="133" t="str">
        <f ca="1">Horarios!Q41</f>
        <v>RD Congo</v>
      </c>
      <c r="M46" s="469">
        <f ca="1">ADMIN!$D$5-SUM(N46:T46)</f>
        <v>12</v>
      </c>
      <c r="N46" s="469">
        <f ca="1">IFERROR(COUNTIF(ADMIN!$S$130:INDEX(ADMIN!$S$130:$HL$161,32,ADMIN!$D$5*3-1),Stats!$L46)-SUM(O46:T46),0)</f>
        <v>7</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19</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88274</v>
      </c>
      <c r="C47" s="17"/>
      <c r="D47" s="453"/>
      <c r="E47" s="453"/>
      <c r="F47" s="453"/>
      <c r="G47" s="17"/>
      <c r="H47" s="17"/>
      <c r="I47" s="17"/>
      <c r="J47" s="25"/>
      <c r="K47" s="25"/>
      <c r="L47" s="132" t="str">
        <f ca="1">Horarios!Q42</f>
        <v>República Checa</v>
      </c>
      <c r="M47" s="471">
        <f ca="1">ADMIN!$D$5-SUM(N47:T47)</f>
        <v>6</v>
      </c>
      <c r="N47" s="471">
        <f ca="1">IFERROR(COUNTIF(ADMIN!$S$130:INDEX(ADMIN!$S$130:$HL$161,32,ADMIN!$D$5*3-1),Stats!$L47)-SUM(O47:T47),0)</f>
        <v>11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19</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3</v>
      </c>
      <c r="N48" s="469">
        <f ca="1">IFERROR(COUNTIF(ADMIN!$S$130:INDEX(ADMIN!$S$130:$HL$161,32,ADMIN!$D$5*3-1),Stats!$L48)-SUM(O48:T48),0)</f>
        <v>8</v>
      </c>
      <c r="O48" s="469">
        <f ca="1">COUNTIF(ADMIN!$S$182:INDEX(ADMIN!$S$182:$HL$197,16,ADMIN!$D$5*3-1),Stats!$L48)-SUM(P48:T48)</f>
        <v>6</v>
      </c>
      <c r="P48" s="469">
        <f ca="1">COUNTIF(ADMIN!$S$210:INDEX(ADMIN!$S$210:$HL$217,8,ADMIN!$D$5*3-1),Stats!$L48)-SUM(Q48:T48)</f>
        <v>1</v>
      </c>
      <c r="Q48" s="469">
        <f ca="1">COUNTIF(ADMIN!$S$226:INDEX(ADMIN!$S$226:$HL$229,4,ADMIN!$D$5*3-1),Stats!$L48)-SUM(R48:T48)</f>
        <v>1</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19</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15</v>
      </c>
      <c r="N49" s="471">
        <f ca="1">IFERROR(COUNTIF(ADMIN!$S$130:INDEX(ADMIN!$S$130:$HL$161,32,ADMIN!$D$5*3-1),Stats!$L49)-SUM(O49:T49),0)</f>
        <v>2</v>
      </c>
      <c r="O49" s="471">
        <f ca="1">COUNTIF(ADMIN!$S$182:INDEX(ADMIN!$S$182:$HL$197,16,ADMIN!$D$5*3-1),Stats!$L49)-SUM(P49:T49)</f>
        <v>2</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19</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4</v>
      </c>
      <c r="N50" s="469">
        <f ca="1">IFERROR(COUNTIF(ADMIN!$S$130:INDEX(ADMIN!$S$130:$HL$161,32,ADMIN!$D$5*3-1),Stats!$L50)-SUM(O50:T50),0)</f>
        <v>15</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19</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2</v>
      </c>
      <c r="N51" s="471">
        <f ca="1">IFERROR(COUNTIF(ADMIN!$S$130:INDEX(ADMIN!$S$130:$HL$161,32,ADMIN!$D$5*3-1),Stats!$L51)-SUM(O51:T51),0)</f>
        <v>2</v>
      </c>
      <c r="O51" s="471">
        <f ca="1">COUNTIF(ADMIN!$S$182:INDEX(ADMIN!$S$182:$HL$197,16,ADMIN!$D$5*3-1),Stats!$L51)-SUM(P51:T51)</f>
        <v>15</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19</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19</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19</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4</v>
      </c>
      <c r="O53" s="471">
        <f ca="1">COUNTIF(ADMIN!$S$182:INDEX(ADMIN!$S$182:$HL$197,16,ADMIN!$D$5*3-1),Stats!$L53)-SUM(P53:T53)</f>
        <v>7</v>
      </c>
      <c r="P53" s="471">
        <f ca="1">COUNTIF(ADMIN!$S$210:INDEX(ADMIN!$S$210:$HL$217,8,ADMIN!$D$5*3-1),Stats!$L53)-SUM(Q53:T53)</f>
        <v>5</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19</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2</v>
      </c>
      <c r="N54" s="469">
        <f ca="1">IFERROR(COUNTIF(ADMIN!$S$130:INDEX(ADMIN!$S$130:$HL$161,32,ADMIN!$D$5*3-1),Stats!$L54)-SUM(O54:T54),0)</f>
        <v>15</v>
      </c>
      <c r="O54" s="469">
        <f ca="1">COUNTIF(ADMIN!$S$182:INDEX(ADMIN!$S$182:$HL$197,16,ADMIN!$D$5*3-1),Stats!$L54)-SUM(P54:T54)</f>
        <v>1</v>
      </c>
      <c r="P54" s="469">
        <f ca="1">COUNTIF(ADMIN!$S$210:INDEX(ADMIN!$S$210:$HL$217,8,ADMIN!$D$5*3-1),Stats!$L54)-SUM(Q54:T54)</f>
        <v>1</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19</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16</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19</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2">
        <v>#VALUE!</v>
      </c>
      <c r="Y87" s="8">
        <v>3.5</v>
      </c>
    </row>
    <row r="88" spans="13:25">
      <c r="T88" s="700" t="s">
        <v>1796</v>
      </c>
      <c r="U88" s="8" t="s">
        <v>1755</v>
      </c>
      <c r="V88" s="8" t="s">
        <v>1756</v>
      </c>
      <c r="W88" s="8" t="s">
        <v>1760</v>
      </c>
      <c r="X88" s="700" t="e" vm="3">
        <v>#VALUE!</v>
      </c>
      <c r="Y88" s="8">
        <v>4</v>
      </c>
    </row>
    <row r="89" spans="13:25" ht="15.75">
      <c r="T89" s="700" t="s">
        <v>1797</v>
      </c>
      <c r="U89" s="8" t="s">
        <v>1786</v>
      </c>
      <c r="V89" s="8" t="s">
        <v>1786</v>
      </c>
      <c r="W89" s="701" t="s">
        <v>1787</v>
      </c>
      <c r="X89" s="700" t="e" vm="4">
        <v>#VALUE!</v>
      </c>
      <c r="Y89" s="8">
        <v>-4</v>
      </c>
    </row>
    <row r="90" spans="13:25" ht="15.75">
      <c r="T90" s="700" t="s">
        <v>1798</v>
      </c>
      <c r="U90" s="8" t="s">
        <v>1788</v>
      </c>
      <c r="V90" s="8" t="s">
        <v>1789</v>
      </c>
      <c r="W90" s="702" t="s">
        <v>1790</v>
      </c>
      <c r="X90" s="700" t="e" vm="5">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6">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7">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8">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9">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10">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1">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2">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3">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4">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5">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6">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7">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8">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9">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20">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1">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2">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3">
        <v>#VALUE!</v>
      </c>
      <c r="O19" s="786">
        <v>18</v>
      </c>
      <c r="P19" s="723"/>
      <c r="Q19" s="790" cm="1">
        <f t="array" aca="1" ref="Q19" ca="1">IFERROR(MIN(IF(COUNTIF($Q$1:Q18,ADMIN!$H$6:$H$77)=0,ADMIN!$H$6:$H$77)),"")</f>
        <v>46201</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4">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5">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6">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7">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8">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9">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30">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3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2">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3">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4">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5">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6">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7">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8">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9">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40">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41">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2">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3">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4">
        <v>#VALUE!</v>
      </c>
      <c r="O40" s="722"/>
      <c r="Q40" s="790" cm="1">
        <f t="array" aca="1" ref="Q40" ca="1">IFERROR(INDEX($Q$2:$Q$25,SMALL(IF(($Q$2:$Q$25)=0,"",ROW($Q$2:$Q$25)),ROW(Q1))-MIN(ROW($Q$2:$Q$25))+1),"")</f>
        <v>46184</v>
      </c>
      <c r="R40" s="790" cm="1">
        <f t="array" aca="1"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5">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6">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7">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8">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9">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50">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51">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2">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3">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cm="1">
        <f t="array" aca="1" ref="Q57" ca="1">IFERROR(INDEX($Q$2:$Q$25,SMALL(IF(($Q$2:$Q$25)=0,"",ROW($Q$2:$Q$25)),ROW(Q18))-MIN(ROW($Q$2:$Q$25))+1),"")</f>
        <v>46201</v>
      </c>
      <c r="R57" s="790">
        <f ca="1"/>
        <v>46201</v>
      </c>
      <c r="T57" s="723"/>
    </row>
    <row r="58" spans="1:20" ht="15" customHeight="1">
      <c r="O58" s="722"/>
      <c r="Q58" s="790" t="str" cm="1">
        <f t="array" aca="1" ref="Q58" ca="1">IFERROR(INDEX($Q$2:$Q$25,SMALL(IF(($Q$2:$Q$25)=0,"",ROW($Q$2:$Q$25)),ROW(Q19))-MIN(ROW($Q$2:$Q$25))+1),"")</f>
        <v>Clasificados Para Dieciseisavos</v>
      </c>
      <c r="R58" s="786" t="str">
        <f ca="1"/>
        <v>Clasificados Para Dieciseisavos</v>
      </c>
      <c r="T58" s="723"/>
    </row>
    <row r="59" spans="1:20" ht="15" customHeight="1">
      <c r="O59" s="722"/>
      <c r="Q59" s="790" t="str" cm="1">
        <f t="array" aca="1" ref="Q59" ca="1">IFERROR(INDEX($Q$2:$Q$25,SMALL(IF(($Q$2:$Q$25)=0,"",ROW($Q$2:$Q$25)),ROW(Q20))-MIN(ROW($Q$2:$Q$25))+1),"")</f>
        <v>Dieciseisavos de final</v>
      </c>
      <c r="R59" s="786" t="str">
        <f ca="1"/>
        <v>Dieciseisavos de final</v>
      </c>
      <c r="T59" s="723"/>
    </row>
    <row r="60" spans="1:20" ht="15" customHeight="1">
      <c r="O60" s="722"/>
      <c r="Q60" s="790" t="str" cm="1">
        <f t="array" aca="1" ref="Q60" ca="1">IFERROR(INDEX($Q$2:$Q$25,SMALL(IF(($Q$2:$Q$25)=0,"",ROW($Q$2:$Q$25)),ROW(Q21))-MIN(ROW($Q$2:$Q$25))+1),"")</f>
        <v>Octavos de final</v>
      </c>
      <c r="R60" s="786" t="str">
        <f ca="1"/>
        <v>Octavos de final</v>
      </c>
      <c r="T60" s="723"/>
    </row>
    <row r="61" spans="1:20" ht="15" customHeight="1">
      <c r="O61" s="722"/>
      <c r="Q61" s="790" t="str" cm="1">
        <f t="array" aca="1" ref="Q61" ca="1">IFERROR(INDEX($Q$2:$Q$25,SMALL(IF(($Q$2:$Q$25)=0,"",ROW($Q$2:$Q$25)),ROW(Q22))-MIN(ROW($Q$2:$Q$25))+1),"")</f>
        <v>Cuartos de final</v>
      </c>
      <c r="R61" s="786" t="str">
        <f ca="1"/>
        <v>Cuartos de final</v>
      </c>
    </row>
    <row r="62" spans="1:20" ht="15" customHeight="1">
      <c r="O62" s="722"/>
      <c r="Q62" s="790" t="str" cm="1">
        <f t="array" aca="1" ref="Q62" ca="1">IFERROR(INDEX($Q$2:$Q$25,SMALL(IF(($Q$2:$Q$25)=0,"",ROW($Q$2:$Q$25)),ROW(Q23))-MIN(ROW($Q$2:$Q$25))+1),"")</f>
        <v>Semifinales</v>
      </c>
      <c r="R62" s="786" t="str">
        <f ca="1"/>
        <v>Semifinales</v>
      </c>
    </row>
    <row r="63" spans="1:20" ht="15" customHeight="1">
      <c r="O63" s="722"/>
      <c r="Q63" s="790" t="str" cm="1">
        <f t="array" aca="1" ref="Q63" ca="1">IFERROR(INDEX($Q$2:$Q$25,SMALL(IF(($Q$2:$Q$25)=0,"",ROW($Q$2:$Q$25)),ROW(Q24))-MIN(ROW($Q$2:$Q$25))+1),"")</f>
        <v>3-4 &amp; Final</v>
      </c>
      <c r="R63" s="786" t="str">
        <f ca="1"/>
        <v>3-4 &amp; Final</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21</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46184.875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46185.166666666664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46191.75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46192.125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46198.125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46198.125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46185.875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46186.875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46191.875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46192</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46197.875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46197.875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46187</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46187.125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46193</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46193.104166666664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46198</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46198</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46186.125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46187.25</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46192.875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46193.208333333336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46199.166666666664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46199.166666666664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46187.791666666664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46188.041666666664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46193.916666666664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46194.083333333336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46198.916666666664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46198.916666666664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46187.916666666664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46188.166666666664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46193.791666666664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46194.25</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46199.041666666664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46199.041666666664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46188.875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46189.125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46194.875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46195.125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46200.208333333336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46200.208333333336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46188.75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46189</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46194.75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46200.083333333336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46200.083333333336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46189.875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46190</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46195.958333333336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46196.083333333336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46199.875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46199.875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46190.125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46190.25</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46195.791666666664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46196.208333333336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46201.166666666664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46201.166666666664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46190.791666666664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46191.166666666664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46196.791666666664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46197.166666666664</v>
      </c>
    </row>
    <row r="88" spans="1:36">
      <c r="A88" s="710">
        <v>46200.8125</v>
      </c>
      <c r="C88" s="710">
        <f t="shared" ca="1" si="34"/>
        <v>46201.0625</v>
      </c>
    </row>
    <row r="89" spans="1:36">
      <c r="A89" s="710">
        <v>46200.8125</v>
      </c>
      <c r="C89" s="710">
        <f t="shared" ca="1" si="34"/>
        <v>46201.0625</v>
      </c>
    </row>
    <row r="90" spans="1:36">
      <c r="C90" s="710"/>
    </row>
    <row r="91" spans="1:36">
      <c r="A91" s="5" t="s">
        <v>489</v>
      </c>
      <c r="C91" s="710"/>
    </row>
    <row r="92" spans="1:36">
      <c r="A92" s="710">
        <v>46190.666666666664</v>
      </c>
      <c r="C92" s="710">
        <f t="shared" ref="C92:C97" ca="1" si="35">A92+INDEX($V$3:$V$86,MATCH($C$3,$P$3:$P$86,0))*INDEX($W$3:$W$86,MATCH($C$3,$P$3:$P$86,0))</f>
        <v>46190.916666666664</v>
      </c>
    </row>
    <row r="93" spans="1:36">
      <c r="A93" s="710">
        <v>46190.791666666664</v>
      </c>
      <c r="C93" s="710">
        <f t="shared" ca="1" si="35"/>
        <v>46191.041666666664</v>
      </c>
    </row>
    <row r="94" spans="1:36">
      <c r="A94" s="710">
        <v>46196.666666666664</v>
      </c>
      <c r="C94" s="710">
        <f t="shared" ca="1" si="35"/>
        <v>46196.916666666664</v>
      </c>
    </row>
    <row r="95" spans="1:36">
      <c r="A95" s="710">
        <v>46196.791666666664</v>
      </c>
      <c r="C95" s="710">
        <f t="shared" ca="1" si="35"/>
        <v>46197.041666666664</v>
      </c>
    </row>
    <row r="96" spans="1:36">
      <c r="A96" s="710">
        <v>46200.708333333336</v>
      </c>
      <c r="C96" s="710">
        <f t="shared" ca="1" si="35"/>
        <v>46200.958333333336</v>
      </c>
    </row>
    <row r="97" spans="1:3">
      <c r="A97" s="710">
        <v>46200.708333333336</v>
      </c>
      <c r="C97" s="710">
        <f t="shared" ca="1" si="35"/>
        <v>46200.958333333336</v>
      </c>
    </row>
    <row r="100" spans="1:3">
      <c r="A100" s="714"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4"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5"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6" t="s">
        <v>493</v>
      </c>
    </row>
    <row r="143" spans="1:3">
      <c r="A143" s="710">
        <v>46221.708333333336</v>
      </c>
      <c r="C143" s="710">
        <f ca="1">A143+INDEX($V$3:$V$86,MATCH($C$3,$P$3:$P$86,0))*INDEX($W$3:$W$86,MATCH($C$3,$P$3:$P$86,0))</f>
        <v>46221.958333333336</v>
      </c>
    </row>
    <row r="146" spans="1:3">
      <c r="A146" s="717" t="s">
        <v>4</v>
      </c>
      <c r="C146" s="710"/>
    </row>
    <row r="147" spans="1:3">
      <c r="A147" s="710">
        <v>46222.625</v>
      </c>
      <c r="C147" s="710">
        <f ca="1">A147+INDEX($V$3:$V$86,MATCH($C$3,$P$3:$P$86,0))*INDEX($W$3:$W$86,MATCH($C$3,$P$3:$P$86,0))</f>
        <v>46222.875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PC-PORTATIL-SISTMS-1</cp:lastModifiedBy>
  <cp:lastPrinted>2018-12-06T18:06:35Z</cp:lastPrinted>
  <dcterms:created xsi:type="dcterms:W3CDTF">2015-10-31T09:41:54Z</dcterms:created>
  <dcterms:modified xsi:type="dcterms:W3CDTF">2026-06-10T15:12:35Z</dcterms:modified>
  <cp:category/>
</cp:coreProperties>
</file>